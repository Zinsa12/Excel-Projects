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E RAJ SALES\Desktop\Excel\"/>
    </mc:Choice>
  </mc:AlternateContent>
  <bookViews>
    <workbookView xWindow="0" yWindow="0" windowWidth="19200" windowHeight="7050" activeTab="2"/>
  </bookViews>
  <sheets>
    <sheet name="Tasks" sheetId="1" r:id="rId1"/>
    <sheet name="pivot" sheetId="3" r:id="rId2"/>
    <sheet name="Dashbord" sheetId="4" r:id="rId3"/>
    <sheet name="Dataset" sheetId="2" r:id="rId4"/>
  </sheets>
  <calcPr calcId="162913"/>
  <pivotCaches>
    <pivotCache cacheId="0" r:id="rId5"/>
    <pivotCache cacheId="1" r:id="rId6"/>
    <pivotCache cacheId="3" r:id="rId7"/>
  </pivotCaches>
  <fileRecoveryPr repairLoad="1"/>
</workbook>
</file>

<file path=xl/calcChain.xml><?xml version="1.0" encoding="utf-8"?>
<calcChain xmlns="http://schemas.openxmlformats.org/spreadsheetml/2006/main">
  <c r="E4" i="4" l="1"/>
  <c r="B4" i="4"/>
  <c r="F4" i="4"/>
  <c r="C4" i="4"/>
  <c r="L251" i="2" l="1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Q4" i="4"/>
  <c r="P4" i="4"/>
  <c r="Q3" i="4"/>
  <c r="P3" i="4"/>
  <c r="L3" i="4"/>
  <c r="J3" i="4"/>
</calcChain>
</file>

<file path=xl/sharedStrings.xml><?xml version="1.0" encoding="utf-8"?>
<sst xmlns="http://schemas.openxmlformats.org/spreadsheetml/2006/main" count="1258" uniqueCount="130">
  <si>
    <t>Task</t>
  </si>
  <si>
    <t>Instructions</t>
  </si>
  <si>
    <t>Build PivotTables and a Dashboard (including appropriate charts, slicer, and timeline) from the following pointers:</t>
  </si>
  <si>
    <t>1</t>
  </si>
  <si>
    <t>Product Performance</t>
  </si>
  <si>
    <t>Best/worst selling products</t>
  </si>
  <si>
    <t>2</t>
  </si>
  <si>
    <t>Product profitability analysis</t>
  </si>
  <si>
    <t>3</t>
  </si>
  <si>
    <t>Category-wise revenue distribution</t>
  </si>
  <si>
    <t>4</t>
  </si>
  <si>
    <t>Pricing Analysis</t>
  </si>
  <si>
    <t>Impact of discounts on sales volume</t>
  </si>
  <si>
    <t>5</t>
  </si>
  <si>
    <t>Price sensitivity by region</t>
  </si>
  <si>
    <t>6</t>
  </si>
  <si>
    <t>Optimal discount rates</t>
  </si>
  <si>
    <t>7</t>
  </si>
  <si>
    <t>Customer Behavior</t>
  </si>
  <si>
    <t>Rating patterns by product category</t>
  </si>
  <si>
    <t>8</t>
  </si>
  <si>
    <t>Purchase quantity trends</t>
  </si>
  <si>
    <t>9</t>
  </si>
  <si>
    <t>Seasonal buying patterns</t>
  </si>
  <si>
    <t>10</t>
  </si>
  <si>
    <t>Operational Insights</t>
  </si>
  <si>
    <t>High/low volume periods</t>
  </si>
  <si>
    <t>11</t>
  </si>
  <si>
    <t>Stock planning recommendations</t>
  </si>
  <si>
    <t>12</t>
  </si>
  <si>
    <t>City-wise market penetration</t>
  </si>
  <si>
    <t>13</t>
  </si>
  <si>
    <t>Cross-Analysis</t>
  </si>
  <si>
    <t>Category performance by region</t>
  </si>
  <si>
    <t>14</t>
  </si>
  <si>
    <t>Rating correlation with price points</t>
  </si>
  <si>
    <t>15</t>
  </si>
  <si>
    <t>Discount effectiveness by product type</t>
  </si>
  <si>
    <t>Date</t>
  </si>
  <si>
    <t>Category</t>
  </si>
  <si>
    <t>Product</t>
  </si>
  <si>
    <t>Region</t>
  </si>
  <si>
    <t>City</t>
  </si>
  <si>
    <t>Quantity</t>
  </si>
  <si>
    <t>Unit_Price</t>
  </si>
  <si>
    <t>Discount</t>
  </si>
  <si>
    <t>Total_Price</t>
  </si>
  <si>
    <t>Customer_Rating</t>
  </si>
  <si>
    <t>Books</t>
  </si>
  <si>
    <t>Non-Fiction</t>
  </si>
  <si>
    <t>South</t>
  </si>
  <si>
    <t>Atlanta</t>
  </si>
  <si>
    <t>Electronics</t>
  </si>
  <si>
    <t>Smartwatch</t>
  </si>
  <si>
    <t>North</t>
  </si>
  <si>
    <t>New York</t>
  </si>
  <si>
    <t>Sports</t>
  </si>
  <si>
    <t>Running Shoes</t>
  </si>
  <si>
    <t>East</t>
  </si>
  <si>
    <t>Baltimore</t>
  </si>
  <si>
    <t>Biography</t>
  </si>
  <si>
    <t>Cookbook</t>
  </si>
  <si>
    <t>Philadelphia</t>
  </si>
  <si>
    <t>Chicago</t>
  </si>
  <si>
    <t>Yoga Mat</t>
  </si>
  <si>
    <t>Miami</t>
  </si>
  <si>
    <t>Home &amp; Garden</t>
  </si>
  <si>
    <t>Plant Pot</t>
  </si>
  <si>
    <t>Washington DC</t>
  </si>
  <si>
    <t>Lamp</t>
  </si>
  <si>
    <t>Dumbbells</t>
  </si>
  <si>
    <t>West</t>
  </si>
  <si>
    <t>San Francisco</t>
  </si>
  <si>
    <t>Smartphone</t>
  </si>
  <si>
    <t>Basketball</t>
  </si>
  <si>
    <t>Headphones</t>
  </si>
  <si>
    <t>Seattle</t>
  </si>
  <si>
    <t>Rug</t>
  </si>
  <si>
    <t>Houston</t>
  </si>
  <si>
    <t>Tennis Racket</t>
  </si>
  <si>
    <t>Laptop</t>
  </si>
  <si>
    <t>Self-Help</t>
  </si>
  <si>
    <t>Clothing</t>
  </si>
  <si>
    <t>T-Shirt</t>
  </si>
  <si>
    <t>Cushion</t>
  </si>
  <si>
    <t>Jacket</t>
  </si>
  <si>
    <t>Boston</t>
  </si>
  <si>
    <t>Dress</t>
  </si>
  <si>
    <t>Los Angeles</t>
  </si>
  <si>
    <t>Jeans</t>
  </si>
  <si>
    <t>Shoes</t>
  </si>
  <si>
    <t>Wall Art</t>
  </si>
  <si>
    <t>Fiction</t>
  </si>
  <si>
    <t>Tablet</t>
  </si>
  <si>
    <t>Row Labels</t>
  </si>
  <si>
    <t>Grand Total</t>
  </si>
  <si>
    <t>Best Selling</t>
  </si>
  <si>
    <t>Wrost Selling</t>
  </si>
  <si>
    <t xml:space="preserve">Profite </t>
  </si>
  <si>
    <t xml:space="preserve">Sum of Profite </t>
  </si>
  <si>
    <t>Sum of Total_Price</t>
  </si>
  <si>
    <t>Category-wise Revenue Distribution</t>
  </si>
  <si>
    <t>Sum of Quantity</t>
  </si>
  <si>
    <t>Sum of Discount</t>
  </si>
  <si>
    <t>Sum of Unit_Price</t>
  </si>
  <si>
    <t>Price Sensitivity by Region</t>
  </si>
  <si>
    <t>Optimal Discount Rates</t>
  </si>
  <si>
    <t>Rating Patterns by Product Category</t>
  </si>
  <si>
    <t>Count of Customer_Rating</t>
  </si>
  <si>
    <t>Purchase Quantity Trends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</si>
  <si>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</si>
  <si>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</si>
  <si>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</si>
  <si>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</si>
  <si>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</si>
  <si>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</si>
  <si>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</si>
  <si>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</si>
  <si>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</si>
  <si>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Month</t>
  </si>
  <si>
    <t>Seasonal Buying Patterns</t>
  </si>
  <si>
    <t>High/Low Volume Periods</t>
  </si>
  <si>
    <t xml:space="preserve">High </t>
  </si>
  <si>
    <t>Low</t>
  </si>
  <si>
    <t>Stock Planning Recommendations</t>
  </si>
  <si>
    <t>City-wise Market Penetrationn</t>
  </si>
  <si>
    <t>Column Labels</t>
  </si>
  <si>
    <t>Category Performance by Region</t>
  </si>
  <si>
    <t>Rating Correlation with Price Points</t>
  </si>
  <si>
    <t>Best/Worst Selling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</si>
</sst>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&quot;₹&quot;\ #,##0"/>
    <numFmt numFmtId="166" formatCode="&quot;₹&quot;\ #,##0.00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/>
    <xf numFmtId="164" fontId="5" fillId="0" borderId="0" xfId="0" applyNumberFormat="1" applyFont="1" applyAlignment="1"/>
    <xf numFmtId="0" fontId="5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1" xfId="0" applyFont="1" applyBorder="1" applyAlignment="1">
      <alignment horizontal="left" vertical="center"/>
    </xf>
    <xf numFmtId="165" fontId="0" fillId="0" borderId="0" xfId="0" pivotButton="1" applyNumberFormat="1" applyFont="1" applyAlignment="1"/>
    <xf numFmtId="165" fontId="0" fillId="0" borderId="0" xfId="0" applyNumberFormat="1" applyFont="1" applyAlignment="1"/>
    <xf numFmtId="165" fontId="0" fillId="0" borderId="0" xfId="0" applyNumberFormat="1" applyFont="1" applyAlignment="1">
      <alignment horizontal="left"/>
    </xf>
    <xf numFmtId="0" fontId="2" fillId="0" borderId="0" xfId="0" applyFont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166" fontId="0" fillId="0" borderId="0" xfId="0" applyNumberFormat="1" applyFont="1" applyAlignment="1"/>
    <xf numFmtId="0" fontId="8" fillId="0" borderId="0" xfId="0" applyFont="1"/>
    <xf numFmtId="0" fontId="5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1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0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3" borderId="17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0" fontId="0" fillId="3" borderId="20" xfId="0" applyFont="1" applyFill="1" applyBorder="1" applyAlignment="1">
      <alignment horizontal="center" vertical="center"/>
    </xf>
    <xf numFmtId="0" fontId="0" fillId="3" borderId="21" xfId="0" applyFont="1" applyFill="1" applyBorder="1" applyAlignment="1">
      <alignment horizontal="center" vertical="center"/>
    </xf>
    <xf numFmtId="0" fontId="0" fillId="3" borderId="2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1" fontId="0" fillId="0" borderId="0" xfId="0" applyNumberFormat="1" applyFont="1" applyAlignment="1"/>
    <xf numFmtId="0" fontId="0" fillId="4" borderId="23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4" borderId="20" xfId="0" applyFont="1" applyFill="1" applyBorder="1" applyAlignment="1"/>
    <xf numFmtId="0" fontId="0" fillId="4" borderId="21" xfId="0" applyFont="1" applyFill="1" applyBorder="1" applyAlignment="1"/>
    <xf numFmtId="0" fontId="0" fillId="5" borderId="0" xfId="0" applyFont="1" applyFill="1" applyBorder="1" applyAlignment="1">
      <alignment horizontal="center"/>
    </xf>
    <xf numFmtId="0" fontId="0" fillId="5" borderId="24" xfId="0" applyFont="1" applyFill="1" applyBorder="1" applyAlignment="1">
      <alignment horizontal="center"/>
    </xf>
    <xf numFmtId="0" fontId="0" fillId="5" borderId="21" xfId="0" applyFont="1" applyFill="1" applyBorder="1" applyAlignment="1"/>
    <xf numFmtId="0" fontId="0" fillId="5" borderId="22" xfId="0" applyFont="1" applyFill="1" applyBorder="1" applyAlignment="1"/>
    <xf numFmtId="0" fontId="0" fillId="6" borderId="26" xfId="0" applyFont="1" applyFill="1" applyBorder="1" applyAlignment="1">
      <alignment horizontal="center"/>
    </xf>
    <xf numFmtId="0" fontId="0" fillId="6" borderId="27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0" fillId="6" borderId="28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 vertical="center"/>
    </xf>
    <xf numFmtId="0" fontId="1" fillId="7" borderId="28" xfId="0" applyFont="1" applyFill="1" applyBorder="1" applyAlignment="1"/>
    <xf numFmtId="0" fontId="0" fillId="5" borderId="28" xfId="0" applyFont="1" applyFill="1" applyBorder="1" applyAlignment="1">
      <alignment horizontal="center"/>
    </xf>
    <xf numFmtId="0" fontId="0" fillId="4" borderId="28" xfId="0" applyFont="1" applyFill="1" applyBorder="1" applyAlignment="1"/>
  </cellXfs>
  <cellStyles count="1">
    <cellStyle name="Normal" xfId="0" builtinId="0"/>
  </cellStyles>
  <dxfs count="81"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" formatCode="0"/>
    </dxf>
    <dxf>
      <numFmt numFmtId="166" formatCode="&quot;₹&quot;\ #,##0.00"/>
    </dxf>
    <dxf>
      <numFmt numFmtId="166" formatCode="&quot;₹&quot;\ #,##0.00"/>
    </dxf>
    <dxf>
      <numFmt numFmtId="168" formatCode="0.0"/>
    </dxf>
    <dxf>
      <numFmt numFmtId="168" formatCode="0.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5" formatCode="&quot;₹&quot;\ #,##0"/>
    </dxf>
    <dxf>
      <numFmt numFmtId="167" formatCode="&quot;₹&quot;\ #,##0.0"/>
    </dxf>
    <dxf>
      <numFmt numFmtId="166" formatCode="&quot;₹&quot;\ #,##0.00"/>
    </dxf>
    <dxf>
      <numFmt numFmtId="1" formatCode="0"/>
    </dxf>
    <dxf>
      <numFmt numFmtId="168" formatCode="0.0"/>
    </dxf>
    <dxf>
      <numFmt numFmtId="166" formatCode="&quot;₹&quot;\ #,##0.00"/>
    </dxf>
    <dxf>
      <numFmt numFmtId="166" formatCode="&quot;₹&quot;\ #,##0.0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7" formatCode="&quot;₹&quot;\ #,##0.0"/>
    </dxf>
    <dxf>
      <numFmt numFmtId="167" formatCode="&quot;₹&quot;\ #,##0.0"/>
    </dxf>
    <dxf>
      <numFmt numFmtId="167" formatCode="&quot;₹&quot;\ #,##0.0"/>
    </dxf>
    <dxf>
      <numFmt numFmtId="167" formatCode="&quot;₹&quot;\ #,##0.0"/>
    </dxf>
    <dxf>
      <numFmt numFmtId="167" formatCode="&quot;₹&quot;\ #,##0.0"/>
    </dxf>
    <dxf>
      <numFmt numFmtId="167" formatCode="&quot;₹&quot;\ #,##0.0"/>
    </dxf>
    <dxf>
      <numFmt numFmtId="167" formatCode="&quot;₹&quot;\ #,##0.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" formatCode="0"/>
    </dxf>
    <dxf>
      <numFmt numFmtId="168" formatCode="0.0"/>
    </dxf>
    <dxf>
      <numFmt numFmtId="2" formatCode="0.00"/>
    </dxf>
    <dxf>
      <numFmt numFmtId="1" formatCode="0"/>
    </dxf>
    <dxf>
      <numFmt numFmtId="168" formatCode="0.0"/>
    </dxf>
    <dxf>
      <numFmt numFmtId="2" formatCode="0.00"/>
    </dxf>
    <dxf>
      <numFmt numFmtId="165" formatCode="&quot;₹&quot;\ #,##0"/>
    </dxf>
    <dxf>
      <numFmt numFmtId="167" formatCode="&quot;₹&quot;\ #,##0.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1).xlsx]pivot!PivotTable4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474982502187226"/>
          <c:y val="0.15798157856262662"/>
          <c:w val="0.67800174978127747"/>
          <c:h val="0.718950688193153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pivot!$H$6:$H$31</c:f>
              <c:strCache>
                <c:ptCount val="25"/>
                <c:pt idx="0">
                  <c:v>Shoes</c:v>
                </c:pt>
                <c:pt idx="1">
                  <c:v>Dress</c:v>
                </c:pt>
                <c:pt idx="2">
                  <c:v>Cookbook</c:v>
                </c:pt>
                <c:pt idx="3">
                  <c:v>Plant Pot</c:v>
                </c:pt>
                <c:pt idx="4">
                  <c:v>Smartphone</c:v>
                </c:pt>
                <c:pt idx="5">
                  <c:v>Jeans</c:v>
                </c:pt>
                <c:pt idx="6">
                  <c:v>Smartwatch</c:v>
                </c:pt>
                <c:pt idx="7">
                  <c:v>Self-Help</c:v>
                </c:pt>
                <c:pt idx="8">
                  <c:v>Jacket</c:v>
                </c:pt>
                <c:pt idx="9">
                  <c:v>Laptop</c:v>
                </c:pt>
                <c:pt idx="10">
                  <c:v>Tablet</c:v>
                </c:pt>
                <c:pt idx="11">
                  <c:v>Wall Art</c:v>
                </c:pt>
                <c:pt idx="12">
                  <c:v>Basketball</c:v>
                </c:pt>
                <c:pt idx="13">
                  <c:v>Fiction</c:v>
                </c:pt>
                <c:pt idx="14">
                  <c:v>Non-Fiction</c:v>
                </c:pt>
                <c:pt idx="15">
                  <c:v>Lamp</c:v>
                </c:pt>
                <c:pt idx="16">
                  <c:v>T-Shirt</c:v>
                </c:pt>
                <c:pt idx="17">
                  <c:v>Dumbbells</c:v>
                </c:pt>
                <c:pt idx="18">
                  <c:v>Running Shoes</c:v>
                </c:pt>
                <c:pt idx="19">
                  <c:v>Headphones</c:v>
                </c:pt>
                <c:pt idx="20">
                  <c:v>Rug</c:v>
                </c:pt>
                <c:pt idx="21">
                  <c:v>Cushion</c:v>
                </c:pt>
                <c:pt idx="22">
                  <c:v>Biography</c:v>
                </c:pt>
                <c:pt idx="23">
                  <c:v>Tennis Racket</c:v>
                </c:pt>
                <c:pt idx="24">
                  <c:v>Yoga Mat</c:v>
                </c:pt>
              </c:strCache>
            </c:strRef>
          </c:cat>
          <c:val>
            <c:numRef>
              <c:f>pivot!$I$6:$I$31</c:f>
              <c:numCache>
                <c:formatCode>"₹"\ #,##0</c:formatCode>
                <c:ptCount val="25"/>
                <c:pt idx="0">
                  <c:v>16108.429000000002</c:v>
                </c:pt>
                <c:pt idx="1">
                  <c:v>15171.084000000003</c:v>
                </c:pt>
                <c:pt idx="2">
                  <c:v>14972.449000000001</c:v>
                </c:pt>
                <c:pt idx="3">
                  <c:v>14643.735499999999</c:v>
                </c:pt>
                <c:pt idx="4">
                  <c:v>14107.826999999996</c:v>
                </c:pt>
                <c:pt idx="5">
                  <c:v>12552.449999999999</c:v>
                </c:pt>
                <c:pt idx="6">
                  <c:v>12151.4725</c:v>
                </c:pt>
                <c:pt idx="7">
                  <c:v>11638.3465</c:v>
                </c:pt>
                <c:pt idx="8">
                  <c:v>9921.0350000000017</c:v>
                </c:pt>
                <c:pt idx="9">
                  <c:v>9537.43</c:v>
                </c:pt>
                <c:pt idx="10">
                  <c:v>9092.789499999999</c:v>
                </c:pt>
                <c:pt idx="11">
                  <c:v>8377.4840000000004</c:v>
                </c:pt>
                <c:pt idx="12">
                  <c:v>8258.9429999999993</c:v>
                </c:pt>
                <c:pt idx="13">
                  <c:v>7883.2154999999993</c:v>
                </c:pt>
                <c:pt idx="14">
                  <c:v>7366.6670000000004</c:v>
                </c:pt>
                <c:pt idx="15">
                  <c:v>7328.0820000000012</c:v>
                </c:pt>
                <c:pt idx="16">
                  <c:v>7212.5370000000003</c:v>
                </c:pt>
                <c:pt idx="17">
                  <c:v>7134.2270000000008</c:v>
                </c:pt>
                <c:pt idx="18">
                  <c:v>7023.4570000000012</c:v>
                </c:pt>
                <c:pt idx="19">
                  <c:v>6819.0240000000003</c:v>
                </c:pt>
                <c:pt idx="20">
                  <c:v>6688.6089999999995</c:v>
                </c:pt>
                <c:pt idx="21">
                  <c:v>6608.2905000000001</c:v>
                </c:pt>
                <c:pt idx="22">
                  <c:v>6138.94</c:v>
                </c:pt>
                <c:pt idx="23">
                  <c:v>5813.9749999999995</c:v>
                </c:pt>
                <c:pt idx="24">
                  <c:v>5318.0190000000002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9-42DE-AEE1-55EC092D0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8650447"/>
        <c:axId val="838643791"/>
      </c:barChart>
      <c:catAx>
        <c:axId val="8386504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43791"/>
        <c:crosses val="autoZero"/>
        <c:auto val="1"/>
        <c:lblAlgn val="ctr"/>
        <c:lblOffset val="100"/>
        <c:noMultiLvlLbl val="0"/>
      </c:catAx>
      <c:valAx>
        <c:axId val="838643791"/>
        <c:scaling>
          <c:orientation val="minMax"/>
        </c:scaling>
        <c:delete val="0"/>
        <c:axPos val="b"/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65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pivot!$L$5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88-4F6E-9C24-FF69737494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88-4F6E-9C24-FF69737494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88-4F6E-9C24-FF69737494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88-4F6E-9C24-FF69737494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88-4F6E-9C24-FF697374949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pivot!$K$6:$K$11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pivot!$L$6:$L$11</c:f>
              <c:numCache>
                <c:formatCode>General</c:formatCode>
                <c:ptCount val="5"/>
                <c:pt idx="0">
                  <c:v>59129.120000000003</c:v>
                </c:pt>
                <c:pt idx="1">
                  <c:v>76651.979999999981</c:v>
                </c:pt>
                <c:pt idx="2">
                  <c:v>64505.49</c:v>
                </c:pt>
                <c:pt idx="3">
                  <c:v>52696.630000000012</c:v>
                </c:pt>
                <c:pt idx="4">
                  <c:v>43867.209999999985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88-4F6E-9C24-FF6973749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1).xlsx]pivot!PivotTable10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62612285140212"/>
          <c:y val="0.16199751346871114"/>
          <c:w val="0.53590401163920509"/>
          <c:h val="0.65917198508081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pivot!$L$17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pivot!$K$18:$K$22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pivot!$L$18:$L$22</c:f>
              <c:numCache>
                <c:formatCode>"₹"\ #,##0</c:formatCode>
                <c:ptCount val="4"/>
                <c:pt idx="0">
                  <c:v>13137.279999999999</c:v>
                </c:pt>
                <c:pt idx="1">
                  <c:v>17272.979999999996</c:v>
                </c:pt>
                <c:pt idx="2">
                  <c:v>19251.909999999996</c:v>
                </c:pt>
                <c:pt idx="3">
                  <c:v>15164.95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E-4CBB-A0CC-BD522AAEE513}"/>
            </c:ext>
          </c:extLst>
        </c:ser>
        <c:ser>
          <c:idx val="1"/>
          <c:order val="1"/>
          <c:tx>
            <c:strRef>
              <c:f>pivot!$M$17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pivot!$K$18:$K$22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pivot!$M$18:$M$22</c:f>
              <c:numCache>
                <c:formatCode>General</c:formatCode>
                <c:ptCount val="4"/>
                <c:pt idx="0">
                  <c:v>253</c:v>
                </c:pt>
                <c:pt idx="1">
                  <c:v>382</c:v>
                </c:pt>
                <c:pt idx="2">
                  <c:v>417</c:v>
                </c:pt>
                <c:pt idx="3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E-4CBB-A0CC-BD522AAE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9062479"/>
        <c:axId val="909061647"/>
      </c:barChart>
      <c:catAx>
        <c:axId val="90906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61647"/>
        <c:crosses val="autoZero"/>
        <c:auto val="1"/>
        <c:lblAlgn val="ctr"/>
        <c:lblOffset val="100"/>
        <c:noMultiLvlLbl val="0"/>
      </c:catAx>
      <c:valAx>
        <c:axId val="9090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6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1).xlsx]pivot!PivotTable11</c:name>
    <c:fmtId val="4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pivot!$L$25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pivot!$K$26:$K$31</c:f>
              <c:strCach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pivot!$L$26:$L$31</c:f>
              <c:numCache>
                <c:formatCode>General</c:formatCode>
                <c:ptCount val="5"/>
                <c:pt idx="0">
                  <c:v>83060.729999999967</c:v>
                </c:pt>
                <c:pt idx="1">
                  <c:v>57085.079999999994</c:v>
                </c:pt>
                <c:pt idx="2">
                  <c:v>61618.9</c:v>
                </c:pt>
                <c:pt idx="3">
                  <c:v>50789.43</c:v>
                </c:pt>
                <c:pt idx="4">
                  <c:v>44296.29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CAC-B3FB-EBEB14388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9188063"/>
        <c:axId val="1719187647"/>
      </c:barChart>
      <c:catAx>
        <c:axId val="171918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7647"/>
        <c:crosses val="autoZero"/>
        <c:auto val="1"/>
        <c:lblAlgn val="ctr"/>
        <c:lblOffset val="100"/>
        <c:noMultiLvlLbl val="0"/>
      </c:catAx>
      <c:valAx>
        <c:axId val="17191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1).xlsx]pivot!PivotTable1</c:name>
    <c:fmtId val="5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652670983707269"/>
          <c:y val="0.157510993685122"/>
          <c:w val="0.57032769413956752"/>
          <c:h val="0.706499186926573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pivot!$D$36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pivot!$C$37:$C$42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Garden</c:v>
                </c:pt>
                <c:pt idx="4">
                  <c:v>Sports</c:v>
                </c:pt>
              </c:strCache>
            </c:strRef>
          </c:cat>
          <c:val>
            <c:numRef>
              <c:f>pivot!$D$37:$D$42</c:f>
              <c:numCache>
                <c:formatCode>General</c:formatCode>
                <c:ptCount val="5"/>
                <c:pt idx="0">
                  <c:v>49</c:v>
                </c:pt>
                <c:pt idx="1">
                  <c:v>57</c:v>
                </c:pt>
                <c:pt idx="2">
                  <c:v>49</c:v>
                </c:pt>
                <c:pt idx="3">
                  <c:v>41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6-4B3D-B62F-7409159D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9190559"/>
        <c:axId val="1719184319"/>
      </c:barChart>
      <c:catAx>
        <c:axId val="171919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4319"/>
        <c:crosses val="autoZero"/>
        <c:auto val="1"/>
        <c:lblAlgn val="ctr"/>
        <c:lblOffset val="100"/>
        <c:noMultiLvlLbl val="0"/>
      </c:catAx>
      <c:valAx>
        <c:axId val="171918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9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pivot!$J$36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pivot!$I$37:$I$46</c:f>
              <c:strCache>
                <c:ptCount val="9"/>
                <c:pt idx="0">
                  <c:v>Mar</c:v>
                </c:pt>
                <c:pt idx="1">
                  <c:v>Apr</c:v>
                </c:pt>
                <c:pt idx="2">
                  <c:v>Jul</c:v>
                </c:pt>
                <c:pt idx="3">
                  <c:v>Aug</c:v>
                </c:pt>
                <c:pt idx="4">
                  <c:v>Jun</c:v>
                </c:pt>
                <c:pt idx="5">
                  <c:v>Jan</c:v>
                </c:pt>
                <c:pt idx="6">
                  <c:v>Feb</c:v>
                </c:pt>
                <c:pt idx="7">
                  <c:v>May</c:v>
                </c:pt>
                <c:pt idx="8">
                  <c:v>Sep</c:v>
                </c:pt>
              </c:strCache>
            </c:strRef>
          </c:cat>
          <c:val>
            <c:numRef>
              <c:f>pivot!$J$37:$J$46</c:f>
              <c:numCache>
                <c:formatCode>General</c:formatCode>
                <c:ptCount val="9"/>
                <c:pt idx="0">
                  <c:v>230</c:v>
                </c:pt>
                <c:pt idx="1">
                  <c:v>193</c:v>
                </c:pt>
                <c:pt idx="2">
                  <c:v>190</c:v>
                </c:pt>
                <c:pt idx="3">
                  <c:v>184</c:v>
                </c:pt>
                <c:pt idx="4">
                  <c:v>148</c:v>
                </c:pt>
                <c:pt idx="5">
                  <c:v>148</c:v>
                </c:pt>
                <c:pt idx="6">
                  <c:v>120</c:v>
                </c:pt>
                <c:pt idx="7">
                  <c:v>105</c:v>
                </c:pt>
                <c:pt idx="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3-4817-9CBF-CB19C2D4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965503"/>
        <c:axId val="1715966335"/>
      </c:lineChart>
      <c:catAx>
        <c:axId val="17159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66335"/>
        <c:crosses val="autoZero"/>
        <c:auto val="1"/>
        <c:lblAlgn val="ctr"/>
        <c:lblOffset val="100"/>
        <c:noMultiLvlLbl val="0"/>
      </c:catAx>
      <c:valAx>
        <c:axId val="171596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6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pivot!$F$5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pivot!$E$6:$E$31</c:f>
              <c:strCache>
                <c:ptCount val="25"/>
                <c:pt idx="0">
                  <c:v>Cookbook</c:v>
                </c:pt>
                <c:pt idx="1">
                  <c:v>Dress</c:v>
                </c:pt>
                <c:pt idx="2">
                  <c:v>T-Shirt</c:v>
                </c:pt>
                <c:pt idx="3">
                  <c:v>Smartphone</c:v>
                </c:pt>
                <c:pt idx="4">
                  <c:v>Shoes</c:v>
                </c:pt>
                <c:pt idx="5">
                  <c:v>Basketball</c:v>
                </c:pt>
                <c:pt idx="6">
                  <c:v>Smartwatch</c:v>
                </c:pt>
                <c:pt idx="7">
                  <c:v>Plant Pot</c:v>
                </c:pt>
                <c:pt idx="8">
                  <c:v>Jacket</c:v>
                </c:pt>
                <c:pt idx="9">
                  <c:v>Self-Help</c:v>
                </c:pt>
                <c:pt idx="10">
                  <c:v>Jeans</c:v>
                </c:pt>
                <c:pt idx="11">
                  <c:v>Running Shoes</c:v>
                </c:pt>
                <c:pt idx="12">
                  <c:v>Tablet</c:v>
                </c:pt>
                <c:pt idx="13">
                  <c:v>Fiction</c:v>
                </c:pt>
                <c:pt idx="14">
                  <c:v>Dumbbells</c:v>
                </c:pt>
                <c:pt idx="15">
                  <c:v>Headphones</c:v>
                </c:pt>
                <c:pt idx="16">
                  <c:v>Cushion</c:v>
                </c:pt>
                <c:pt idx="17">
                  <c:v>Tennis Racket</c:v>
                </c:pt>
                <c:pt idx="18">
                  <c:v>Lamp</c:v>
                </c:pt>
                <c:pt idx="19">
                  <c:v>Wall Art</c:v>
                </c:pt>
                <c:pt idx="20">
                  <c:v>Non-Fiction</c:v>
                </c:pt>
                <c:pt idx="21">
                  <c:v>Yoga Mat</c:v>
                </c:pt>
                <c:pt idx="22">
                  <c:v>Laptop</c:v>
                </c:pt>
                <c:pt idx="23">
                  <c:v>Rug</c:v>
                </c:pt>
                <c:pt idx="24">
                  <c:v>Biography</c:v>
                </c:pt>
              </c:strCache>
            </c:strRef>
          </c:cat>
          <c:val>
            <c:numRef>
              <c:f>pivot!$F$6:$F$31</c:f>
              <c:numCache>
                <c:formatCode>General</c:formatCode>
                <c:ptCount val="25"/>
                <c:pt idx="0">
                  <c:v>77</c:v>
                </c:pt>
                <c:pt idx="1">
                  <c:v>74</c:v>
                </c:pt>
                <c:pt idx="2">
                  <c:v>74</c:v>
                </c:pt>
                <c:pt idx="3">
                  <c:v>73</c:v>
                </c:pt>
                <c:pt idx="4">
                  <c:v>73</c:v>
                </c:pt>
                <c:pt idx="5">
                  <c:v>67</c:v>
                </c:pt>
                <c:pt idx="6">
                  <c:v>66</c:v>
                </c:pt>
                <c:pt idx="7">
                  <c:v>61</c:v>
                </c:pt>
                <c:pt idx="8">
                  <c:v>60</c:v>
                </c:pt>
                <c:pt idx="9">
                  <c:v>58</c:v>
                </c:pt>
                <c:pt idx="10">
                  <c:v>53</c:v>
                </c:pt>
                <c:pt idx="11">
                  <c:v>53</c:v>
                </c:pt>
                <c:pt idx="12">
                  <c:v>52</c:v>
                </c:pt>
                <c:pt idx="13">
                  <c:v>52</c:v>
                </c:pt>
                <c:pt idx="14">
                  <c:v>51</c:v>
                </c:pt>
                <c:pt idx="15">
                  <c:v>48</c:v>
                </c:pt>
                <c:pt idx="16">
                  <c:v>45</c:v>
                </c:pt>
                <c:pt idx="17">
                  <c:v>45</c:v>
                </c:pt>
                <c:pt idx="18">
                  <c:v>43</c:v>
                </c:pt>
                <c:pt idx="19">
                  <c:v>41</c:v>
                </c:pt>
                <c:pt idx="20">
                  <c:v>41</c:v>
                </c:pt>
                <c:pt idx="21">
                  <c:v>39</c:v>
                </c:pt>
                <c:pt idx="22">
                  <c:v>39</c:v>
                </c:pt>
                <c:pt idx="23">
                  <c:v>32</c:v>
                </c:pt>
                <c:pt idx="2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2-4984-821B-ED9E54ED6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676895"/>
        <c:axId val="1864678975"/>
      </c:lineChart>
      <c:catAx>
        <c:axId val="18646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678975"/>
        <c:crosses val="autoZero"/>
        <c:auto val="1"/>
        <c:lblAlgn val="ctr"/>
        <c:lblOffset val="100"/>
        <c:noMultiLvlLbl val="0"/>
      </c:catAx>
      <c:valAx>
        <c:axId val="186467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67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1).xlsx]pivot!PivotTable14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55806884495457"/>
          <c:y val="0.17452310857400022"/>
          <c:w val="0.84389746003374921"/>
          <c:h val="0.4417229435605928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pivot!$D$46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pivot!$C$47:$C$59</c:f>
              <c:strCache>
                <c:ptCount val="12"/>
                <c:pt idx="0">
                  <c:v>Atlanta</c:v>
                </c:pt>
                <c:pt idx="1">
                  <c:v>Baltimore</c:v>
                </c:pt>
                <c:pt idx="2">
                  <c:v>Boston</c:v>
                </c:pt>
                <c:pt idx="3">
                  <c:v>Chicago</c:v>
                </c:pt>
                <c:pt idx="4">
                  <c:v>Houston</c:v>
                </c:pt>
                <c:pt idx="5">
                  <c:v>Los Angeles</c:v>
                </c:pt>
                <c:pt idx="6">
                  <c:v>Miami</c:v>
                </c:pt>
                <c:pt idx="7">
                  <c:v>New York</c:v>
                </c:pt>
                <c:pt idx="8">
                  <c:v>Philadelphia</c:v>
                </c:pt>
                <c:pt idx="9">
                  <c:v>San Francisco</c:v>
                </c:pt>
                <c:pt idx="10">
                  <c:v>Seattle</c:v>
                </c:pt>
                <c:pt idx="11">
                  <c:v>Washington DC</c:v>
                </c:pt>
              </c:strCache>
            </c:strRef>
          </c:cat>
          <c:val>
            <c:numRef>
              <c:f>pivot!$D$47:$D$59</c:f>
              <c:numCache>
                <c:formatCode>General</c:formatCode>
                <c:ptCount val="12"/>
                <c:pt idx="0">
                  <c:v>39041.129999999997</c:v>
                </c:pt>
                <c:pt idx="1">
                  <c:v>15185.010000000002</c:v>
                </c:pt>
                <c:pt idx="2">
                  <c:v>14779.06</c:v>
                </c:pt>
                <c:pt idx="3">
                  <c:v>34170.880000000005</c:v>
                </c:pt>
                <c:pt idx="4">
                  <c:v>22869.819999999996</c:v>
                </c:pt>
                <c:pt idx="5">
                  <c:v>22821.599999999995</c:v>
                </c:pt>
                <c:pt idx="6">
                  <c:v>27592.770000000004</c:v>
                </c:pt>
                <c:pt idx="7">
                  <c:v>29585.85</c:v>
                </c:pt>
                <c:pt idx="8">
                  <c:v>14492.820000000002</c:v>
                </c:pt>
                <c:pt idx="9">
                  <c:v>35017.540000000008</c:v>
                </c:pt>
                <c:pt idx="10">
                  <c:v>18259.950000000004</c:v>
                </c:pt>
                <c:pt idx="11">
                  <c:v>23034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29B-A75F-12FE2DA1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9183071"/>
        <c:axId val="1864499455"/>
        <c:axId val="0"/>
      </c:bar3DChart>
      <c:catAx>
        <c:axId val="171918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499455"/>
        <c:crosses val="autoZero"/>
        <c:auto val="1"/>
        <c:lblAlgn val="ctr"/>
        <c:lblOffset val="100"/>
        <c:noMultiLvlLbl val="0"/>
      </c:catAx>
      <c:valAx>
        <c:axId val="186449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18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1).xlsx]pivot!PivotTable16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pivot!$G$51:$G$52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pivot!$F$53:$F$57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pivot!$G$53:$G$57</c:f>
              <c:numCache>
                <c:formatCode>General</c:formatCode>
                <c:ptCount val="4"/>
                <c:pt idx="0">
                  <c:v>11675.07</c:v>
                </c:pt>
                <c:pt idx="1">
                  <c:v>16110.74</c:v>
                </c:pt>
                <c:pt idx="2">
                  <c:v>18925.73</c:v>
                </c:pt>
                <c:pt idx="3">
                  <c:v>12417.579999999998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8-4491-9C90-84EDB8C642B1}"/>
            </c:ext>
          </c:extLst>
        </c:ser>
        <c:ser>
          <c:idx val="1"/>
          <c:order val="1"/>
          <c:tx>
            <c:strRef>
              <c:f>pivot!$H$51:$H$52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pivot!$F$53:$F$57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pivot!$H$53:$H$57</c:f>
              <c:numCache>
                <c:formatCode>General</c:formatCode>
                <c:ptCount val="4"/>
                <c:pt idx="0">
                  <c:v>7892.46</c:v>
                </c:pt>
                <c:pt idx="1">
                  <c:v>24841.580000000005</c:v>
                </c:pt>
                <c:pt idx="2">
                  <c:v>23829.98</c:v>
                </c:pt>
                <c:pt idx="3">
                  <c:v>20087.96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8-4491-9C90-84EDB8C642B1}"/>
            </c:ext>
          </c:extLst>
        </c:ser>
        <c:ser>
          <c:idx val="2"/>
          <c:order val="2"/>
          <c:tx>
            <c:strRef>
              <c:f>pivot!$I$51:$I$52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pivot!$F$53:$F$57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pivot!$I$53:$I$57</c:f>
              <c:numCache>
                <c:formatCode>General</c:formatCode>
                <c:ptCount val="4"/>
                <c:pt idx="0">
                  <c:v>8922.32</c:v>
                </c:pt>
                <c:pt idx="1">
                  <c:v>18920.7</c:v>
                </c:pt>
                <c:pt idx="2">
                  <c:v>18988.73</c:v>
                </c:pt>
                <c:pt idx="3">
                  <c:v>17673.739999999998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8-4491-9C90-84EDB8C642B1}"/>
            </c:ext>
          </c:extLst>
        </c:ser>
        <c:ser>
          <c:idx val="3"/>
          <c:order val="3"/>
          <c:tx>
            <c:strRef>
              <c:f>pivot!$J$51:$J$52</c:f>
              <c:strCache>
                <c:ptCount val="1"/>
                <c:pt idx="0">
                  <c:v>Home &amp; Garden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pivot!$F$53:$F$57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pivot!$J$53:$J$57</c:f>
              <c:numCache>
                <c:formatCode>General</c:formatCode>
                <c:ptCount val="4"/>
                <c:pt idx="0">
                  <c:v>16748.299999999996</c:v>
                </c:pt>
                <c:pt idx="1">
                  <c:v>11052.76</c:v>
                </c:pt>
                <c:pt idx="2">
                  <c:v>10020.969999999999</c:v>
                </c:pt>
                <c:pt idx="3">
                  <c:v>14874.6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58-4491-9C90-84EDB8C642B1}"/>
            </c:ext>
          </c:extLst>
        </c:ser>
        <c:ser>
          <c:idx val="4"/>
          <c:order val="4"/>
          <c:tx>
            <c:strRef>
              <c:f>pivot!$K$51:$K$52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pivot!$F$53:$F$57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pivot!$K$53:$K$57</c:f>
              <c:numCache>
                <c:formatCode>General</c:formatCode>
                <c:ptCount val="4"/>
                <c:pt idx="0">
                  <c:v>7473.68</c:v>
                </c:pt>
                <c:pt idx="1">
                  <c:v>7610.01</c:v>
                </c:pt>
                <c:pt idx="2">
                  <c:v>17738.309999999998</c:v>
                </c:pt>
                <c:pt idx="3">
                  <c:v>11045.210000000001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58-4491-9C90-84EDB8C64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1280655"/>
        <c:axId val="1721281487"/>
        <c:axId val="0"/>
      </c:bar3DChart>
      <c:catAx>
        <c:axId val="172128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281487"/>
        <c:crosses val="autoZero"/>
        <c:auto val="1"/>
        <c:lblAlgn val="ctr"/>
        <c:lblOffset val="100"/>
        <c:noMultiLvlLbl val="0"/>
      </c:catAx>
      <c:valAx>
        <c:axId val="17212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28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1).xlsx]pivot!PivotTable17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pivot!$P$36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0F-49ED-8C20-BAC2A45376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0F-49ED-8C20-BAC2A45376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0F-49ED-8C20-BAC2A453766F}"/>
              </c:ext>
            </c:extLst>
          </c:dPt>
          <c:cat>
            <c:strRef>
              <c:f>pivot!$O$37:$O$40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pivot!$P$37:$P$40</c:f>
              <c:numCache>
                <c:formatCode>General</c:formatCode>
                <c:ptCount val="3"/>
                <c:pt idx="0">
                  <c:v>14241.790000000003</c:v>
                </c:pt>
                <c:pt idx="1">
                  <c:v>27901.200000000001</c:v>
                </c:pt>
                <c:pt idx="2">
                  <c:v>22684.13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0F-49ED-8C20-BAC2A4537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4397163120567"/>
          <c:y val="0.41231815588268855"/>
          <c:w val="0.16453900709219857"/>
          <c:h val="0.34455993000874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5 (Revision day 1).xlsx]pivot!PivotTable5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418218471876683"/>
          <c:y val="0.14570190560499463"/>
          <c:w val="0.53457765010644032"/>
          <c:h val="0.716081442482411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pivot!$O$51:$O$52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pivot!$N$53:$N$58</c:f>
              <c:strCach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pivot!$O$53:$O$58</c:f>
              <c:numCache>
                <c:formatCode>0</c:formatCode>
                <c:ptCount val="5"/>
                <c:pt idx="0">
                  <c:v>3334.16</c:v>
                </c:pt>
                <c:pt idx="1">
                  <c:v>2857.85</c:v>
                </c:pt>
                <c:pt idx="2">
                  <c:v>2591.5699999999997</c:v>
                </c:pt>
                <c:pt idx="3">
                  <c:v>960.77</c:v>
                </c:pt>
                <c:pt idx="4">
                  <c:v>2797.3999999999996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6-42B9-9081-43E67D0454DF}"/>
            </c:ext>
          </c:extLst>
        </c:ser>
        <c:ser>
          <c:idx val="1"/>
          <c:order val="1"/>
          <c:tx>
            <c:strRef>
              <c:f>pivot!$P$51:$P$52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pivot!$N$53:$N$58</c:f>
              <c:strCach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pivot!$P$53:$P$58</c:f>
              <c:numCache>
                <c:formatCode>0</c:formatCode>
                <c:ptCount val="5"/>
                <c:pt idx="0">
                  <c:v>2741.62</c:v>
                </c:pt>
                <c:pt idx="1">
                  <c:v>2542.64</c:v>
                </c:pt>
                <c:pt idx="2">
                  <c:v>3812.23</c:v>
                </c:pt>
                <c:pt idx="3">
                  <c:v>2561.3000000000002</c:v>
                </c:pt>
                <c:pt idx="4">
                  <c:v>3360.7200000000003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6-42B9-9081-43E67D0454DF}"/>
            </c:ext>
          </c:extLst>
        </c:ser>
        <c:ser>
          <c:idx val="2"/>
          <c:order val="2"/>
          <c:tx>
            <c:strRef>
              <c:f>pivot!$Q$51:$Q$52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pivot!$N$53:$N$58</c:f>
              <c:strCach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pivot!$Q$53:$Q$58</c:f>
              <c:numCache>
                <c:formatCode>0</c:formatCode>
                <c:ptCount val="5"/>
                <c:pt idx="0">
                  <c:v>3715.34</c:v>
                </c:pt>
                <c:pt idx="1">
                  <c:v>2247.8599999999997</c:v>
                </c:pt>
                <c:pt idx="2">
                  <c:v>2252.15</c:v>
                </c:pt>
                <c:pt idx="3">
                  <c:v>3269.9300000000003</c:v>
                </c:pt>
                <c:pt idx="4">
                  <c:v>2003.9899999999998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6-42B9-9081-43E67D0454DF}"/>
            </c:ext>
          </c:extLst>
        </c:ser>
        <c:ser>
          <c:idx val="3"/>
          <c:order val="3"/>
          <c:tx>
            <c:strRef>
              <c:f>pivot!$R$51:$R$52</c:f>
              <c:strCache>
                <c:ptCount val="1"/>
                <c:pt idx="0">
                  <c:v>Home &amp; Garden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pivot!$N$53:$N$58</c:f>
              <c:strCach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pivot!$R$53:$R$58</c:f>
              <c:numCache>
                <c:formatCode>0</c:formatCode>
                <c:ptCount val="5"/>
                <c:pt idx="0">
                  <c:v>2744.47</c:v>
                </c:pt>
                <c:pt idx="1">
                  <c:v>2351.81</c:v>
                </c:pt>
                <c:pt idx="2">
                  <c:v>3350.05</c:v>
                </c:pt>
                <c:pt idx="3">
                  <c:v>1954.1499999999999</c:v>
                </c:pt>
                <c:pt idx="4">
                  <c:v>1381.7900000000002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6-42B9-9081-43E67D0454DF}"/>
            </c:ext>
          </c:extLst>
        </c:ser>
        <c:ser>
          <c:idx val="4"/>
          <c:order val="4"/>
          <c:tx>
            <c:strRef>
              <c:f>pivot!$S$51:$S$52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pivot!$N$53:$N$58</c:f>
              <c:strCach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pivot!$S$53:$S$58</c:f>
              <c:numCache>
                <c:formatCode>0</c:formatCode>
                <c:ptCount val="5"/>
                <c:pt idx="0">
                  <c:v>1075.76</c:v>
                </c:pt>
                <c:pt idx="1">
                  <c:v>2580.4800000000005</c:v>
                </c:pt>
                <c:pt idx="2">
                  <c:v>3005.98</c:v>
                </c:pt>
                <c:pt idx="3">
                  <c:v>2746.1200000000003</c:v>
                </c:pt>
                <c:pt idx="4">
                  <c:v>2586.98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6-42B9-9081-43E67D045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5603775"/>
        <c:axId val="245607103"/>
      </c:barChart>
      <c:catAx>
        <c:axId val="24560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07103"/>
        <c:crosses val="autoZero"/>
        <c:auto val="1"/>
        <c:lblAlgn val="ctr"/>
        <c:lblOffset val="100"/>
        <c:noMultiLvlLbl val="0"/>
      </c:catAx>
      <c:valAx>
        <c:axId val="24560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0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-1</xdr:rowOff>
    </xdr:from>
    <xdr:to>
      <xdr:col>8</xdr:col>
      <xdr:colOff>19050</xdr:colOff>
      <xdr:row>20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179294</xdr:rowOff>
    </xdr:from>
    <xdr:to>
      <xdr:col>14</xdr:col>
      <xdr:colOff>605118</xdr:colOff>
      <xdr:row>20</xdr:row>
      <xdr:rowOff>179295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582706</xdr:colOff>
      <xdr:row>8</xdr:row>
      <xdr:rowOff>1</xdr:rowOff>
    </xdr:from>
    <xdr:to>
      <xdr:col>23</xdr:col>
      <xdr:colOff>14943</xdr:colOff>
      <xdr:row>20</xdr:row>
      <xdr:rowOff>171825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590177</xdr:colOff>
      <xdr:row>25</xdr:row>
      <xdr:rowOff>7471</xdr:rowOff>
    </xdr:from>
    <xdr:to>
      <xdr:col>8</xdr:col>
      <xdr:colOff>7470</xdr:colOff>
      <xdr:row>38</xdr:row>
      <xdr:rowOff>171823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590176</xdr:colOff>
      <xdr:row>25</xdr:row>
      <xdr:rowOff>7469</xdr:rowOff>
    </xdr:from>
    <xdr:to>
      <xdr:col>15</xdr:col>
      <xdr:colOff>14941</xdr:colOff>
      <xdr:row>38</xdr:row>
      <xdr:rowOff>184726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25</xdr:row>
      <xdr:rowOff>23090</xdr:rowOff>
    </xdr:from>
    <xdr:to>
      <xdr:col>22</xdr:col>
      <xdr:colOff>600364</xdr:colOff>
      <xdr:row>39</xdr:row>
      <xdr:rowOff>45503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577272</xdr:colOff>
      <xdr:row>43</xdr:row>
      <xdr:rowOff>0</xdr:rowOff>
    </xdr:from>
    <xdr:to>
      <xdr:col>8</xdr:col>
      <xdr:colOff>0</xdr:colOff>
      <xdr:row>58</xdr:row>
      <xdr:rowOff>23090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577273</xdr:colOff>
      <xdr:row>8</xdr:row>
      <xdr:rowOff>0</xdr:rowOff>
    </xdr:from>
    <xdr:to>
      <xdr:col>30</xdr:col>
      <xdr:colOff>577273</xdr:colOff>
      <xdr:row>21</xdr:row>
      <xdr:rowOff>11546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571500</xdr:colOff>
      <xdr:row>43</xdr:row>
      <xdr:rowOff>-1</xdr:rowOff>
    </xdr:from>
    <xdr:to>
      <xdr:col>15</xdr:col>
      <xdr:colOff>571500</xdr:colOff>
      <xdr:row>58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7470</xdr:colOff>
      <xdr:row>43</xdr:row>
      <xdr:rowOff>8590</xdr:rowOff>
    </xdr:from>
    <xdr:to>
      <xdr:col>23</xdr:col>
      <xdr:colOff>612588</xdr:colOff>
      <xdr:row>58</xdr:row>
      <xdr:rowOff>14940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587374</xdr:colOff>
      <xdr:row>24</xdr:row>
      <xdr:rowOff>174625</xdr:rowOff>
    </xdr:from>
    <xdr:to>
      <xdr:col>32</xdr:col>
      <xdr:colOff>31749</xdr:colOff>
      <xdr:row>39</xdr:row>
      <xdr:rowOff>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REE RAJ SALES" refreshedDate="46156.601258796298" createdVersion="6" refreshedVersion="6" minRefreshableVersion="3" recordCount="251">
  <cacheSource type="worksheet">
    <worksheetSource ref="A1:J252" sheet="Dataset"/>
  </cacheSource>
  <cacheFields count="10">
    <cacheField name="Date" numFmtId="0">
      <sharedItems containsNonDate="0" containsDate="1" containsString="0" containsBlank="1" minDate="2023-01-01T00:00:00" maxDate="2023-09-07T00:00:00"/>
    </cacheField>
    <cacheField name="Category" numFmtId="0">
      <sharedItems containsBlank="1"/>
    </cacheField>
    <cacheField name="Product" numFmtId="0">
      <sharedItems containsBlank="1" count="36">
        <s v="Non-Fiction"/>
        <s v="Smartwatch"/>
        <s v="Running Shoes"/>
        <s v="Biography"/>
        <s v="Cookbook"/>
        <s v="Yoga Mat"/>
        <s v="Plant Pot"/>
        <s v="Lamp"/>
        <s v="Dumbbells"/>
        <s v="Smartphone"/>
        <s v="Basketball"/>
        <s v="Headphones"/>
        <s v="Rug"/>
        <s v="Tennis Racket"/>
        <s v="Laptop"/>
        <s v="Self-Help"/>
        <s v="T-Shirt"/>
        <s v="Cushion"/>
        <s v="Jacket"/>
        <s v="Dress"/>
        <s v="Jeans"/>
        <s v="Shoes"/>
        <s v="Wall Art"/>
        <s v="Fiction"/>
        <s v="Tablet"/>
        <m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</sharedItems>
    </cacheField>
    <cacheField name="Region" numFmtId="0">
      <sharedItems containsBlank="1"/>
    </cacheField>
    <cacheField name="City" numFmtId="0">
      <sharedItems containsBlank="1"/>
    </cacheField>
    <cacheField name="Quantity" numFmtId="0">
      <sharedItems containsString="0" containsBlank="1" containsNumber="1" containsInteger="1" minValue="1" maxValue="10" count="11">
        <n v="5"/>
        <n v="7"/>
        <n v="1"/>
        <n v="8"/>
        <n v="9"/>
        <n v="4"/>
        <n v="3"/>
        <n v="2"/>
        <n v="6"/>
        <n v="10"/>
        <m/>
      </sharedItems>
    </cacheField>
    <cacheField name="Unit_Price" numFmtId="0">
      <sharedItems containsString="0" containsBlank="1" containsNumber="1" minValue="10.38" maxValue="498.89"/>
    </cacheField>
    <cacheField name="Discount" numFmtId="0">
      <sharedItems containsString="0" containsBlank="1" containsNumber="1" minValue="0" maxValue="0.3"/>
    </cacheField>
    <cacheField name="Total_Price" numFmtId="0">
      <sharedItems containsString="0" containsBlank="1" containsNumber="1" minValue="9.58" maxValue="4548.54"/>
    </cacheField>
    <cacheField name="Customer_Rating" numFmtId="0">
      <sharedItems containsString="0" containsBlank="1" containsNumber="1" containsInteger="1" minValue="3" maxValue="5"/>
    </cacheField>
  </cacheFields>
  <calculatedItems count="10">
    <calculatedItem>
      <pivotArea cacheIndex="1" outline="0" fieldPosition="0">
        <references count="1">
          <reference field="2" count="1">
            <x v="26"/>
          </reference>
        </references>
      </pivotArea>
    </calculatedItem>
    <calculatedItem>
      <pivotArea cacheIndex="1" outline="0" fieldPosition="0">
        <references count="1">
          <reference field="2" count="1">
            <x v="27"/>
          </reference>
        </references>
      </pivotArea>
    </calculatedItem>
    <calculatedItem>
      <pivotArea cacheIndex="1" outline="0" fieldPosition="0">
        <references count="1">
          <reference field="2" count="1">
            <x v="28"/>
          </reference>
        </references>
      </pivotArea>
    </calculatedItem>
    <calculatedItem>
      <pivotArea cacheIndex="1" outline="0" fieldPosition="0">
        <references count="1">
          <reference field="2" count="1">
            <x v="29"/>
          </reference>
        </references>
      </pivotArea>
    </calculatedItem>
    <calculatedItem>
      <pivotArea cacheIndex="1" outline="0" fieldPosition="0">
        <references count="1">
          <reference field="2" count="1">
            <x v="30"/>
          </reference>
        </references>
      </pivotArea>
    </calculatedItem>
    <calculatedItem>
      <pivotArea cacheIndex="1" outline="0" fieldPosition="0">
        <references count="1">
          <reference field="2" count="1">
            <x v="31"/>
          </reference>
        </references>
      </pivotArea>
    </calculatedItem>
    <calculatedItem>
      <pivotArea cacheIndex="1" outline="0" fieldPosition="0">
        <references count="1">
          <reference field="2" count="1">
            <x v="32"/>
          </reference>
        </references>
      </pivotArea>
    </calculatedItem>
    <calculatedItem>
      <pivotArea cacheIndex="1" outline="0" fieldPosition="0">
        <references count="1">
          <reference field="2" count="1">
            <x v="33"/>
          </reference>
        </references>
      </pivotArea>
    </calculatedItem>
    <calculatedItem>
      <pivotArea cacheIndex="1" outline="0" fieldPosition="0">
        <references count="1">
          <reference field="2" count="1">
            <x v="34"/>
          </reference>
        </references>
      </pivotArea>
    </calculatedItem>
    <calculatedItem>
      <pivotArea cacheIndex="1" outline="0" fieldPosition="0">
        <references count="1">
          <reference field="2" count="1">
            <x v="3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REE RAJ SALES" refreshedDate="46156.613809027775" createdVersion="6" refreshedVersion="6" minRefreshableVersion="3" recordCount="250">
  <cacheSource type="worksheet">
    <worksheetSource ref="A1:K251" sheet="Dataset"/>
  </cacheSource>
  <cacheFields count="12">
    <cacheField name="Date" numFmtId="164">
      <sharedItems containsSemiMixedTypes="0" containsNonDate="0" containsDate="1" containsString="0" minDate="2023-01-01T00:00:00" maxDate="2023-09-07T00:00:00" count="159">
        <d v="2023-01-01T00:00:00"/>
        <d v="2023-01-03T00:00:00"/>
        <d v="2023-01-06T00:00:00"/>
        <d v="2023-01-08T00:00:00"/>
        <d v="2023-01-09T00:00:00"/>
        <d v="2023-01-10T00:00:00"/>
        <d v="2023-01-15T00:00:00"/>
        <d v="2023-01-16T00:00:00"/>
        <d v="2023-01-17T00:00:00"/>
        <d v="2023-01-18T00:00:00"/>
        <d v="2023-01-19T00:00:00"/>
        <d v="2023-01-21T00:00:00"/>
        <d v="2023-01-23T00:00:00"/>
        <d v="2023-01-24T00:00:00"/>
        <d v="2023-01-27T00:00:00"/>
        <d v="2023-01-28T00:00:00"/>
        <d v="2023-01-30T00:00:00"/>
        <d v="2023-01-31T00:00:00"/>
        <d v="2023-02-01T00:00:00"/>
        <d v="2023-02-04T00:00:00"/>
        <d v="2023-02-05T00:00:00"/>
        <d v="2023-02-06T00:00:00"/>
        <d v="2023-02-07T00:00:00"/>
        <d v="2023-02-08T00:00:00"/>
        <d v="2023-02-12T00:00:00"/>
        <d v="2023-02-13T00:00:00"/>
        <d v="2023-02-14T00:00:00"/>
        <d v="2023-02-15T00:00:00"/>
        <d v="2023-02-16T00:00:00"/>
        <d v="2023-02-20T00:00:00"/>
        <d v="2023-02-22T00:00:00"/>
        <d v="2023-02-23T00:00:00"/>
        <d v="2023-02-24T00:00:00"/>
        <d v="2023-02-25T00:00:00"/>
        <d v="2023-03-01T00:00:00"/>
        <d v="2023-03-02T00:00:00"/>
        <d v="2023-03-04T00:00:00"/>
        <d v="2023-03-05T00:00:00"/>
        <d v="2023-03-08T00:00:00"/>
        <d v="2023-03-09T00:00:00"/>
        <d v="2023-03-10T00:00:00"/>
        <d v="2023-03-12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6T00:00:00"/>
        <d v="2023-03-27T00:00:00"/>
        <d v="2023-03-28T00:00:00"/>
        <d v="2023-03-29T00:00:00"/>
        <d v="2023-04-01T00:00:00"/>
        <d v="2023-04-02T00:00:00"/>
        <d v="2023-04-03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3T00:00:00"/>
        <d v="2023-04-15T00:00:00"/>
        <d v="2023-04-16T00:00:00"/>
        <d v="2023-04-20T00:00:00"/>
        <d v="2023-04-21T00:00:00"/>
        <d v="2023-04-22T00:00:00"/>
        <d v="2023-04-23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7T00:00:00"/>
        <d v="2023-05-08T00:00:00"/>
        <d v="2023-05-12T00:00:00"/>
        <d v="2023-05-13T00:00:00"/>
        <d v="2023-05-14T00:00:00"/>
        <d v="2023-05-16T00:00:00"/>
        <d v="2023-05-17T00:00:00"/>
        <d v="2023-05-18T00:00:00"/>
        <d v="2023-05-20T00:00:00"/>
        <d v="2023-05-26T00:00:00"/>
        <d v="2023-05-28T00:00:00"/>
        <d v="2023-05-29T00:00:00"/>
        <d v="2023-06-01T00:00:00"/>
        <d v="2023-06-02T00:00:00"/>
        <d v="2023-06-04T00:00:00"/>
        <d v="2023-06-05T00:00:00"/>
        <d v="2023-06-07T00:00:00"/>
        <d v="2023-06-09T00:00:00"/>
        <d v="2023-06-13T00:00:00"/>
        <d v="2023-06-14T00:00:00"/>
        <d v="2023-06-16T00:00:00"/>
        <d v="2023-06-18T00:00:00"/>
        <d v="2023-06-21T00:00:00"/>
        <d v="2023-06-22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2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5T00:00:00"/>
        <d v="2023-07-18T00:00:00"/>
        <d v="2023-07-19T00:00:00"/>
        <d v="2023-07-20T00:00:00"/>
        <d v="2023-07-22T00:00:00"/>
        <d v="2023-07-23T00:00:00"/>
        <d v="2023-07-24T00:00:00"/>
        <d v="2023-07-25T00:00:00"/>
        <d v="2023-07-26T00:00:00"/>
        <d v="2023-07-28T00:00:00"/>
        <d v="2023-07-31T00:00:00"/>
        <d v="2023-08-01T00:00:00"/>
        <d v="2023-08-02T00:00:00"/>
        <d v="2023-08-03T00:00:00"/>
        <d v="2023-08-05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7T00:00:00"/>
        <d v="2023-08-18T00:00:00"/>
        <d v="2023-08-19T00:00:00"/>
        <d v="2023-08-20T00:00:00"/>
        <d v="2023-08-22T00:00:00"/>
        <d v="2023-08-25T00:00:00"/>
        <d v="2023-08-27T00:00:00"/>
        <d v="2023-08-28T00:00:00"/>
        <d v="2023-08-29T00:00:00"/>
        <d v="2023-08-30T00:00:00"/>
        <d v="2023-09-01T00:00:00"/>
        <d v="2023-09-02T00:00:00"/>
        <d v="2023-09-03T00:00:00"/>
        <d v="2023-09-04T00:00:00"/>
        <d v="2023-09-05T00:00:00"/>
        <d v="2023-09-06T00:00:00"/>
      </sharedItems>
      <fieldGroup par="11" base="0">
        <rangePr groupBy="days" startDate="2023-01-01T00:00:00" endDate="2023-09-07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-09-2023"/>
        </groupItems>
      </fieldGroup>
    </cacheField>
    <cacheField name="Category" numFmtId="0">
      <sharedItems count="5">
        <s v="Books"/>
        <s v="Electronics"/>
        <s v="Sports"/>
        <s v="Home &amp; Garden"/>
        <s v="Clothing"/>
      </sharedItems>
    </cacheField>
    <cacheField name="Product" numFmtId="0">
      <sharedItems count="25">
        <s v="Non-Fiction"/>
        <s v="Smartwatch"/>
        <s v="Running Shoes"/>
        <s v="Biography"/>
        <s v="Cookbook"/>
        <s v="Yoga Mat"/>
        <s v="Plant Pot"/>
        <s v="Lamp"/>
        <s v="Dumbbells"/>
        <s v="Smartphone"/>
        <s v="Basketball"/>
        <s v="Headphones"/>
        <s v="Rug"/>
        <s v="Tennis Racket"/>
        <s v="Laptop"/>
        <s v="Self-Help"/>
        <s v="T-Shirt"/>
        <s v="Cushion"/>
        <s v="Jacket"/>
        <s v="Dress"/>
        <s v="Jeans"/>
        <s v="Shoes"/>
        <s v="Wall Art"/>
        <s v="Fiction"/>
        <s v="Tablet"/>
      </sharedItems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 count="12">
        <s v="Atlanta"/>
        <s v="New York"/>
        <s v="Baltimore"/>
        <s v="Philadelphia"/>
        <s v="Chicago"/>
        <s v="Miami"/>
        <s v="Washington DC"/>
        <s v="San Francisco"/>
        <s v="Seattle"/>
        <s v="Houston"/>
        <s v="Boston"/>
        <s v="Los Angele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0.38" maxValue="498.89"/>
    </cacheField>
    <cacheField name="Discount" numFmtId="0">
      <sharedItems containsSemiMixedTypes="0" containsString="0" containsNumber="1" minValue="0" maxValue="0.3" count="5">
        <n v="0"/>
        <n v="0.3"/>
        <n v="0.2"/>
        <n v="0.1"/>
        <n v="0.25"/>
      </sharedItems>
    </cacheField>
    <cacheField name="Total_Price" numFmtId="0">
      <sharedItems containsSemiMixedTypes="0" containsString="0" containsNumber="1" minValue="9.58" maxValue="4548.54"/>
    </cacheField>
    <cacheField name="Customer_Rating" numFmtId="0">
      <sharedItems containsSemiMixedTypes="0" containsString="0" containsNumber="1" containsInteger="1" minValue="3" maxValue="5"/>
    </cacheField>
    <cacheField name="Profite " numFmtId="0">
      <sharedItems containsSemiMixedTypes="0" containsString="0" containsNumber="1" minValue="5.4730000000000008" maxValue="4548.54"/>
    </cacheField>
    <cacheField name="Months" numFmtId="0" databaseField="0">
      <fieldGroup base="0">
        <rangePr groupBy="months" startDate="2023-01-01T00:00:00" endDate="2023-09-07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9-2023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HREE RAJ SALES" refreshedDate="46156.672773726852" createdVersion="6" refreshedVersion="6" minRefreshableVersion="3" recordCount="250">
  <cacheSource type="worksheet">
    <worksheetSource ref="A1:L251" sheet="Dataset"/>
  </cacheSource>
  <cacheFields count="12">
    <cacheField name="Date" numFmtId="164">
      <sharedItems containsSemiMixedTypes="0" containsNonDate="0" containsDate="1" containsString="0" minDate="2023-01-01T00:00:00" maxDate="2023-09-07T00:00:00"/>
    </cacheField>
    <cacheField name="Category" numFmtId="0">
      <sharedItems count="5">
        <s v="Books"/>
        <s v="Electronics"/>
        <s v="Sports"/>
        <s v="Home &amp; Garden"/>
        <s v="Clothing"/>
      </sharedItems>
    </cacheField>
    <cacheField name="Product" numFmtId="0">
      <sharedItems count="25">
        <s v="Non-Fiction"/>
        <s v="Smartwatch"/>
        <s v="Running Shoes"/>
        <s v="Biography"/>
        <s v="Cookbook"/>
        <s v="Yoga Mat"/>
        <s v="Plant Pot"/>
        <s v="Lamp"/>
        <s v="Dumbbells"/>
        <s v="Smartphone"/>
        <s v="Basketball"/>
        <s v="Headphones"/>
        <s v="Rug"/>
        <s v="Tennis Racket"/>
        <s v="Laptop"/>
        <s v="Self-Help"/>
        <s v="T-Shirt"/>
        <s v="Cushion"/>
        <s v="Jacket"/>
        <s v="Dress"/>
        <s v="Jeans"/>
        <s v="Shoes"/>
        <s v="Wall Art"/>
        <s v="Fiction"/>
        <s v="Tablet"/>
      </sharedItems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 count="12">
        <s v="Atlanta"/>
        <s v="New York"/>
        <s v="Baltimore"/>
        <s v="Philadelphia"/>
        <s v="Chicago"/>
        <s v="Miami"/>
        <s v="Washington DC"/>
        <s v="San Francisco"/>
        <s v="Seattle"/>
        <s v="Houston"/>
        <s v="Boston"/>
        <s v="Los Angele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0.38" maxValue="498.89" count="250">
        <n v="377.29"/>
        <n v="399.2"/>
        <n v="309.2"/>
        <n v="421.82"/>
        <n v="415.69"/>
        <n v="155.16999999999999"/>
        <n v="299.08"/>
        <n v="363.9"/>
        <n v="181.11"/>
        <n v="159.34"/>
        <n v="442.91"/>
        <n v="22.92"/>
        <n v="133.97"/>
        <n v="326.5"/>
        <n v="333.39"/>
        <n v="195.6"/>
        <n v="280.43"/>
        <n v="237.69"/>
        <n v="56.14"/>
        <n v="275.83999999999997"/>
        <n v="305.94"/>
        <n v="98.8"/>
        <n v="316.70999999999998"/>
        <n v="413.04"/>
        <n v="371.33"/>
        <n v="97.62"/>
        <n v="184.44"/>
        <n v="94.91"/>
        <n v="457.49"/>
        <n v="400.31"/>
        <n v="64.489999999999995"/>
        <n v="77.39"/>
        <n v="431.37"/>
        <n v="152.69999999999999"/>
        <n v="10.38"/>
        <n v="50.62"/>
        <n v="265.89999999999998"/>
        <n v="318.18"/>
        <n v="403.71"/>
        <n v="122.03"/>
        <n v="251.38"/>
        <n v="132.91999999999999"/>
        <n v="89.2"/>
        <n v="218.78"/>
        <n v="350.03"/>
        <n v="234.06"/>
        <n v="235.08"/>
        <n v="61.69"/>
        <n v="31.27"/>
        <n v="363.58"/>
        <n v="147.08000000000001"/>
        <n v="275.89999999999998"/>
        <n v="373.32"/>
        <n v="406.84"/>
        <n v="260.93"/>
        <n v="274.49"/>
        <n v="270.32"/>
        <n v="169.72"/>
        <n v="463.89"/>
        <n v="285.02999999999997"/>
        <n v="29.09"/>
        <n v="364.22"/>
        <n v="53.46"/>
        <n v="22.46"/>
        <n v="302.97000000000003"/>
        <n v="297.25"/>
        <n v="70.91"/>
        <n v="383.6"/>
        <n v="136.54"/>
        <n v="492.97"/>
        <n v="202.3"/>
        <n v="126.44"/>
        <n v="68.88"/>
        <n v="200.25"/>
        <n v="111.89"/>
        <n v="487.45"/>
        <n v="98.23"/>
        <n v="426.52"/>
        <n v="472"/>
        <n v="404.47"/>
        <n v="441.43"/>
        <n v="130.52000000000001"/>
        <n v="297.51"/>
        <n v="78.64"/>
        <n v="431.6"/>
        <n v="266.32"/>
        <n v="95.44"/>
        <n v="255.51"/>
        <n v="278.97000000000003"/>
        <n v="174.94"/>
        <n v="382.51"/>
        <n v="415.13"/>
        <n v="295.85000000000002"/>
        <n v="195.09"/>
        <n v="18.87"/>
        <n v="450.79"/>
        <n v="413.07"/>
        <n v="269.52999999999997"/>
        <n v="414.96"/>
        <n v="477.88"/>
        <n v="12.71"/>
        <n v="378.68"/>
        <n v="470.52"/>
        <n v="122.79"/>
        <n v="343.12"/>
        <n v="175.62"/>
        <n v="453.62"/>
        <n v="439.56"/>
        <n v="75.59"/>
        <n v="446.36"/>
        <n v="266.57"/>
        <n v="374.68"/>
        <n v="219.87"/>
        <n v="399.07"/>
        <n v="423.82"/>
        <n v="444.98"/>
        <n v="453.04"/>
        <n v="355.49"/>
        <n v="33.380000000000003"/>
        <n v="447.03"/>
        <n v="312.93"/>
        <n v="425.1"/>
        <n v="345.27"/>
        <n v="239.64"/>
        <n v="380.97"/>
        <n v="167.18"/>
        <n v="52.59"/>
        <n v="449.42"/>
        <n v="12.27"/>
        <n v="186.15"/>
        <n v="242.93"/>
        <n v="12.6"/>
        <n v="386.59"/>
        <n v="159.08000000000001"/>
        <n v="408.27"/>
        <n v="348.29"/>
        <n v="93.05"/>
        <n v="13.69"/>
        <n v="230.77"/>
        <n v="349.29"/>
        <n v="262.99"/>
        <n v="291.98"/>
        <n v="256.31"/>
        <n v="304.95"/>
        <n v="454.17"/>
        <n v="485.26"/>
        <n v="310.57"/>
        <n v="245.38"/>
        <n v="294.47000000000003"/>
        <n v="100.42"/>
        <n v="26.85"/>
        <n v="307.95999999999998"/>
        <n v="245.76"/>
        <n v="145.66999999999999"/>
        <n v="253.06"/>
        <n v="290.42"/>
        <n v="254.14"/>
        <n v="60.43"/>
        <n v="27.97"/>
        <n v="167.11"/>
        <n v="230.95"/>
        <n v="461.21"/>
        <n v="41.8"/>
        <n v="132.15"/>
        <n v="127.39"/>
        <n v="498.89"/>
        <n v="464.88"/>
        <n v="229.73"/>
        <n v="68.599999999999994"/>
        <n v="351.51"/>
        <n v="212.18"/>
        <n v="168.05"/>
        <n v="197.41"/>
        <n v="206.42"/>
        <n v="41.14"/>
        <n v="317.5"/>
        <n v="322.33999999999997"/>
        <n v="234.54"/>
        <n v="401.16"/>
        <n v="92.78"/>
        <n v="305.2"/>
        <n v="492.57"/>
        <n v="252.27"/>
        <n v="475.7"/>
        <n v="378.66"/>
        <n v="193.56"/>
        <n v="154.28"/>
        <n v="192.42"/>
        <n v="229.23"/>
        <n v="144.61000000000001"/>
        <n v="112.45"/>
        <n v="139.94999999999999"/>
        <n v="472.03"/>
        <n v="16.5"/>
        <n v="453.99"/>
        <n v="67.59"/>
        <n v="21.4"/>
        <n v="12.48"/>
        <n v="80.13"/>
        <n v="208.21"/>
        <n v="438.42"/>
        <n v="145.91999999999999"/>
        <n v="253.65"/>
        <n v="481.98"/>
        <n v="484.64"/>
        <n v="384.05"/>
        <n v="320.43"/>
        <n v="360.15"/>
        <n v="454.85"/>
        <n v="217.5"/>
        <n v="224.85"/>
        <n v="334.64"/>
        <n v="358.56"/>
        <n v="389.82"/>
        <n v="86.45"/>
        <n v="449.08"/>
        <n v="258.73"/>
        <n v="184"/>
        <n v="475.08"/>
        <n v="243.54"/>
        <n v="493.57"/>
        <n v="327.37"/>
        <n v="260.72000000000003"/>
        <n v="198.85"/>
        <n v="90.49"/>
        <n v="311.77"/>
        <n v="351.05"/>
        <n v="329.17"/>
        <n v="290.98"/>
        <n v="43.77"/>
        <n v="271.83"/>
        <n v="173.52"/>
        <n v="256.29000000000002"/>
        <n v="101.65"/>
        <n v="200.71"/>
        <n v="44.88"/>
        <n v="124.28"/>
        <n v="358.97"/>
        <n v="388.44"/>
        <n v="447.35"/>
        <n v="20.87"/>
        <n v="215.69"/>
        <n v="181.61"/>
        <n v="142.71"/>
        <n v="282.16000000000003"/>
        <n v="420.78"/>
        <n v="273.26"/>
        <n v="167.82"/>
        <n v="460.19"/>
        <n v="451.2"/>
      </sharedItems>
    </cacheField>
    <cacheField name="Discount" numFmtId="0">
      <sharedItems containsSemiMixedTypes="0" containsString="0" containsNumber="1" minValue="0" maxValue="0.3" count="5">
        <n v="0"/>
        <n v="0.3"/>
        <n v="0.2"/>
        <n v="0.1"/>
        <n v="0.25"/>
      </sharedItems>
    </cacheField>
    <cacheField name="Total_Price" numFmtId="0">
      <sharedItems containsSemiMixedTypes="0" containsString="0" containsNumber="1" minValue="9.58" maxValue="4548.54"/>
    </cacheField>
    <cacheField name="Customer_Rating" numFmtId="0">
      <sharedItems containsSemiMixedTypes="0" containsString="0" containsNumber="1" containsInteger="1" minValue="3" maxValue="5" count="3">
        <n v="5"/>
        <n v="3"/>
        <n v="4"/>
      </sharedItems>
    </cacheField>
    <cacheField name="Profite " numFmtId="0">
      <sharedItems containsSemiMixedTypes="0" containsString="0" containsNumber="1" minValue="5.4730000000000008" maxValue="4548.54"/>
    </cacheField>
    <cacheField name="Month" numFmtId="0">
      <sharedItems count="9">
        <s v="Jan"/>
        <s v="Feb"/>
        <s v="Mar"/>
        <s v="Apr"/>
        <s v="May"/>
        <s v="Jun"/>
        <s v="Jul"/>
        <s v="Aug"/>
        <s v="Sep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1">
  <r>
    <d v="2023-01-01T00:00:00"/>
    <s v="Books"/>
    <x v="0"/>
    <s v="South"/>
    <s v="Atlanta"/>
    <x v="0"/>
    <n v="377.29"/>
    <n v="0"/>
    <n v="1886.47"/>
    <n v="5"/>
  </r>
  <r>
    <d v="2023-01-01T00:00:00"/>
    <s v="Electronics"/>
    <x v="1"/>
    <s v="North"/>
    <s v="New York"/>
    <x v="1"/>
    <n v="399.2"/>
    <n v="0"/>
    <n v="2794.41"/>
    <n v="5"/>
  </r>
  <r>
    <d v="2023-01-01T00:00:00"/>
    <s v="Sports"/>
    <x v="2"/>
    <s v="East"/>
    <s v="Baltimore"/>
    <x v="2"/>
    <n v="309.2"/>
    <n v="0.3"/>
    <n v="216.44"/>
    <n v="5"/>
  </r>
  <r>
    <d v="2023-01-03T00:00:00"/>
    <s v="Books"/>
    <x v="3"/>
    <s v="North"/>
    <s v="New York"/>
    <x v="3"/>
    <n v="421.82"/>
    <n v="0.2"/>
    <n v="2699.62"/>
    <n v="3"/>
  </r>
  <r>
    <d v="2023-01-03T00:00:00"/>
    <s v="Books"/>
    <x v="4"/>
    <s v="East"/>
    <s v="Philadelphia"/>
    <x v="3"/>
    <n v="415.69"/>
    <n v="0.3"/>
    <n v="2327.87"/>
    <n v="5"/>
  </r>
  <r>
    <d v="2023-01-03T00:00:00"/>
    <s v="Sports"/>
    <x v="2"/>
    <s v="North"/>
    <s v="Chicago"/>
    <x v="4"/>
    <n v="155.16999999999999"/>
    <n v="0.3"/>
    <n v="977.6"/>
    <n v="3"/>
  </r>
  <r>
    <d v="2023-01-06T00:00:00"/>
    <s v="Sports"/>
    <x v="5"/>
    <s v="South"/>
    <s v="Miami"/>
    <x v="4"/>
    <n v="299.08"/>
    <n v="0.3"/>
    <n v="1884.19"/>
    <n v="5"/>
  </r>
  <r>
    <d v="2023-01-08T00:00:00"/>
    <s v="Home &amp; Garden"/>
    <x v="6"/>
    <s v="East"/>
    <s v="Washington DC"/>
    <x v="5"/>
    <n v="363.9"/>
    <n v="0.1"/>
    <n v="1310.05"/>
    <n v="4"/>
  </r>
  <r>
    <d v="2023-01-09T00:00:00"/>
    <s v="Electronics"/>
    <x v="1"/>
    <s v="South"/>
    <s v="Atlanta"/>
    <x v="4"/>
    <n v="181.11"/>
    <n v="0.2"/>
    <n v="1304.01"/>
    <n v="4"/>
  </r>
  <r>
    <d v="2023-01-10T00:00:00"/>
    <s v="Home &amp; Garden"/>
    <x v="7"/>
    <s v="South"/>
    <s v="Atlanta"/>
    <x v="4"/>
    <n v="159.34"/>
    <n v="0.2"/>
    <n v="1147.27"/>
    <n v="3"/>
  </r>
  <r>
    <d v="2023-01-15T00:00:00"/>
    <s v="Sports"/>
    <x v="8"/>
    <s v="West"/>
    <s v="San Francisco"/>
    <x v="0"/>
    <n v="442.91"/>
    <n v="0.25"/>
    <n v="1660.92"/>
    <n v="3"/>
  </r>
  <r>
    <d v="2023-01-15T00:00:00"/>
    <s v="Electronics"/>
    <x v="9"/>
    <s v="South"/>
    <s v="Atlanta"/>
    <x v="0"/>
    <n v="22.92"/>
    <n v="0"/>
    <n v="114.6"/>
    <n v="5"/>
  </r>
  <r>
    <d v="2023-01-16T00:00:00"/>
    <s v="Sports"/>
    <x v="10"/>
    <s v="North"/>
    <s v="Chicago"/>
    <x v="0"/>
    <n v="133.97"/>
    <n v="0.2"/>
    <n v="535.86"/>
    <n v="4"/>
  </r>
  <r>
    <d v="2023-01-17T00:00:00"/>
    <s v="Electronics"/>
    <x v="11"/>
    <s v="North"/>
    <s v="New York"/>
    <x v="5"/>
    <n v="326.5"/>
    <n v="0.1"/>
    <n v="1175.4000000000001"/>
    <n v="4"/>
  </r>
  <r>
    <d v="2023-01-18T00:00:00"/>
    <s v="Home &amp; Garden"/>
    <x v="6"/>
    <s v="West"/>
    <s v="Seattle"/>
    <x v="1"/>
    <n v="333.39"/>
    <n v="0.1"/>
    <n v="2100.37"/>
    <n v="3"/>
  </r>
  <r>
    <d v="2023-01-19T00:00:00"/>
    <s v="Home &amp; Garden"/>
    <x v="12"/>
    <s v="North"/>
    <s v="Chicago"/>
    <x v="6"/>
    <n v="195.6"/>
    <n v="0.3"/>
    <n v="410.76"/>
    <n v="5"/>
  </r>
  <r>
    <d v="2023-01-21T00:00:00"/>
    <s v="Books"/>
    <x v="3"/>
    <s v="South"/>
    <s v="Houston"/>
    <x v="2"/>
    <n v="280.43"/>
    <n v="0.3"/>
    <n v="196.3"/>
    <n v="5"/>
  </r>
  <r>
    <d v="2023-01-21T00:00:00"/>
    <s v="Sports"/>
    <x v="13"/>
    <s v="West"/>
    <s v="Seattle"/>
    <x v="2"/>
    <n v="237.69"/>
    <n v="0.3"/>
    <n v="166.38"/>
    <n v="4"/>
  </r>
  <r>
    <d v="2023-01-21T00:00:00"/>
    <s v="Home &amp; Garden"/>
    <x v="12"/>
    <s v="North"/>
    <s v="Chicago"/>
    <x v="0"/>
    <n v="56.14"/>
    <n v="0.25"/>
    <n v="210.51"/>
    <n v="5"/>
  </r>
  <r>
    <d v="2023-01-21T00:00:00"/>
    <s v="Electronics"/>
    <x v="14"/>
    <s v="South"/>
    <s v="Atlanta"/>
    <x v="2"/>
    <n v="275.83999999999997"/>
    <n v="0.2"/>
    <n v="220.68"/>
    <n v="4"/>
  </r>
  <r>
    <d v="2023-01-23T00:00:00"/>
    <s v="Books"/>
    <x v="15"/>
    <s v="East"/>
    <s v="Philadelphia"/>
    <x v="3"/>
    <n v="305.94"/>
    <n v="0.3"/>
    <n v="1713.26"/>
    <n v="5"/>
  </r>
  <r>
    <d v="2023-01-24T00:00:00"/>
    <s v="Clothing"/>
    <x v="16"/>
    <s v="South"/>
    <s v="Atlanta"/>
    <x v="7"/>
    <n v="98.8"/>
    <n v="0.2"/>
    <n v="158.09"/>
    <n v="3"/>
  </r>
  <r>
    <d v="2023-01-24T00:00:00"/>
    <s v="Electronics"/>
    <x v="1"/>
    <s v="West"/>
    <s v="San Francisco"/>
    <x v="0"/>
    <n v="316.70999999999998"/>
    <n v="0"/>
    <n v="1583.55"/>
    <n v="3"/>
  </r>
  <r>
    <d v="2023-01-27T00:00:00"/>
    <s v="Sports"/>
    <x v="13"/>
    <s v="South"/>
    <s v="Miami"/>
    <x v="6"/>
    <n v="413.04"/>
    <n v="0.1"/>
    <n v="1115.22"/>
    <n v="4"/>
  </r>
  <r>
    <d v="2023-01-27T00:00:00"/>
    <s v="Home &amp; Garden"/>
    <x v="17"/>
    <s v="South"/>
    <s v="Houston"/>
    <x v="4"/>
    <n v="371.33"/>
    <n v="0.25"/>
    <n v="2506.4699999999998"/>
    <n v="4"/>
  </r>
  <r>
    <d v="2023-01-28T00:00:00"/>
    <s v="Clothing"/>
    <x v="18"/>
    <s v="North"/>
    <s v="Boston"/>
    <x v="0"/>
    <n v="97.62"/>
    <n v="0.2"/>
    <n v="390.49"/>
    <n v="3"/>
  </r>
  <r>
    <d v="2023-01-30T00:00:00"/>
    <s v="Clothing"/>
    <x v="19"/>
    <s v="North"/>
    <s v="Boston"/>
    <x v="4"/>
    <n v="184.44"/>
    <n v="0.1"/>
    <n v="1493.93"/>
    <n v="3"/>
  </r>
  <r>
    <d v="2023-01-31T00:00:00"/>
    <s v="Clothing"/>
    <x v="18"/>
    <s v="North"/>
    <s v="Boston"/>
    <x v="2"/>
    <n v="94.91"/>
    <n v="0"/>
    <n v="94.91"/>
    <n v="4"/>
  </r>
  <r>
    <d v="2023-02-01T00:00:00"/>
    <s v="Home &amp; Garden"/>
    <x v="6"/>
    <s v="East"/>
    <s v="Philadelphia"/>
    <x v="3"/>
    <n v="457.49"/>
    <n v="0.1"/>
    <n v="3293.91"/>
    <n v="3"/>
  </r>
  <r>
    <d v="2023-02-01T00:00:00"/>
    <s v="Electronics"/>
    <x v="1"/>
    <s v="North"/>
    <s v="Boston"/>
    <x v="1"/>
    <n v="400.31"/>
    <n v="0.2"/>
    <n v="2241.71"/>
    <n v="5"/>
  </r>
  <r>
    <d v="2023-02-01T00:00:00"/>
    <s v="Sports"/>
    <x v="8"/>
    <s v="South"/>
    <s v="Atlanta"/>
    <x v="6"/>
    <n v="64.489999999999995"/>
    <n v="0.2"/>
    <n v="154.77000000000001"/>
    <n v="5"/>
  </r>
  <r>
    <d v="2023-02-04T00:00:00"/>
    <s v="Books"/>
    <x v="15"/>
    <s v="West"/>
    <s v="Seattle"/>
    <x v="3"/>
    <n v="77.39"/>
    <n v="0.25"/>
    <n v="464.31"/>
    <n v="3"/>
  </r>
  <r>
    <d v="2023-02-04T00:00:00"/>
    <s v="Books"/>
    <x v="15"/>
    <s v="South"/>
    <s v="Miami"/>
    <x v="6"/>
    <n v="431.37"/>
    <n v="0.3"/>
    <n v="905.88"/>
    <n v="3"/>
  </r>
  <r>
    <d v="2023-02-05T00:00:00"/>
    <s v="Books"/>
    <x v="4"/>
    <s v="North"/>
    <s v="Chicago"/>
    <x v="4"/>
    <n v="152.69999999999999"/>
    <n v="0.2"/>
    <n v="1099.46"/>
    <n v="4"/>
  </r>
  <r>
    <d v="2023-02-06T00:00:00"/>
    <s v="Clothing"/>
    <x v="16"/>
    <s v="West"/>
    <s v="Los Angeles"/>
    <x v="8"/>
    <n v="10.38"/>
    <n v="0.25"/>
    <n v="46.72"/>
    <n v="5"/>
  </r>
  <r>
    <d v="2023-02-07T00:00:00"/>
    <s v="Books"/>
    <x v="15"/>
    <s v="North"/>
    <s v="Chicago"/>
    <x v="2"/>
    <n v="50.62"/>
    <n v="0"/>
    <n v="50.62"/>
    <n v="5"/>
  </r>
  <r>
    <d v="2023-02-08T00:00:00"/>
    <s v="Clothing"/>
    <x v="18"/>
    <s v="South"/>
    <s v="Houston"/>
    <x v="0"/>
    <n v="265.89999999999998"/>
    <n v="0.3"/>
    <n v="930.65"/>
    <n v="4"/>
  </r>
  <r>
    <d v="2023-02-12T00:00:00"/>
    <s v="Sports"/>
    <x v="2"/>
    <s v="East"/>
    <s v="Baltimore"/>
    <x v="7"/>
    <n v="318.18"/>
    <n v="0.3"/>
    <n v="445.45"/>
    <n v="4"/>
  </r>
  <r>
    <d v="2023-02-12T00:00:00"/>
    <s v="Home &amp; Garden"/>
    <x v="12"/>
    <s v="West"/>
    <s v="Los Angeles"/>
    <x v="4"/>
    <n v="403.71"/>
    <n v="0"/>
    <n v="3633.35"/>
    <n v="4"/>
  </r>
  <r>
    <d v="2023-02-13T00:00:00"/>
    <s v="Clothing"/>
    <x v="20"/>
    <s v="South"/>
    <s v="Houston"/>
    <x v="5"/>
    <n v="122.03"/>
    <n v="0"/>
    <n v="488.14"/>
    <n v="4"/>
  </r>
  <r>
    <d v="2023-02-13T00:00:00"/>
    <s v="Books"/>
    <x v="0"/>
    <s v="West"/>
    <s v="San Francisco"/>
    <x v="8"/>
    <n v="251.38"/>
    <n v="0.3"/>
    <n v="1055.81"/>
    <n v="5"/>
  </r>
  <r>
    <d v="2023-02-14T00:00:00"/>
    <s v="Sports"/>
    <x v="10"/>
    <s v="South"/>
    <s v="Houston"/>
    <x v="1"/>
    <n v="132.91999999999999"/>
    <n v="0.1"/>
    <n v="837.41"/>
    <n v="5"/>
  </r>
  <r>
    <d v="2023-02-15T00:00:00"/>
    <s v="Electronics"/>
    <x v="9"/>
    <s v="West"/>
    <s v="Seattle"/>
    <x v="2"/>
    <n v="89.2"/>
    <n v="0.25"/>
    <n v="66.900000000000006"/>
    <n v="5"/>
  </r>
  <r>
    <d v="2023-02-16T00:00:00"/>
    <s v="Sports"/>
    <x v="8"/>
    <s v="North"/>
    <s v="New York"/>
    <x v="1"/>
    <n v="218.78"/>
    <n v="0.1"/>
    <n v="1378.34"/>
    <n v="3"/>
  </r>
  <r>
    <d v="2023-02-20T00:00:00"/>
    <s v="Sports"/>
    <x v="2"/>
    <s v="South"/>
    <s v="Atlanta"/>
    <x v="6"/>
    <n v="350.03"/>
    <n v="0.25"/>
    <n v="787.58"/>
    <n v="4"/>
  </r>
  <r>
    <d v="2023-02-20T00:00:00"/>
    <s v="Sports"/>
    <x v="13"/>
    <s v="North"/>
    <s v="New York"/>
    <x v="0"/>
    <n v="234.06"/>
    <n v="0.3"/>
    <n v="819.21"/>
    <n v="4"/>
  </r>
  <r>
    <d v="2023-02-22T00:00:00"/>
    <s v="Sports"/>
    <x v="8"/>
    <s v="South"/>
    <s v="Miami"/>
    <x v="5"/>
    <n v="235.08"/>
    <n v="0"/>
    <n v="940.32"/>
    <n v="4"/>
  </r>
  <r>
    <d v="2023-02-23T00:00:00"/>
    <s v="Sports"/>
    <x v="2"/>
    <s v="South"/>
    <s v="Houston"/>
    <x v="4"/>
    <n v="61.69"/>
    <n v="0.25"/>
    <n v="416.42"/>
    <n v="4"/>
  </r>
  <r>
    <d v="2023-02-24T00:00:00"/>
    <s v="Sports"/>
    <x v="8"/>
    <s v="North"/>
    <s v="Chicago"/>
    <x v="0"/>
    <n v="31.27"/>
    <n v="0.3"/>
    <n v="109.43"/>
    <n v="4"/>
  </r>
  <r>
    <d v="2023-02-25T00:00:00"/>
    <s v="Electronics"/>
    <x v="1"/>
    <s v="West"/>
    <s v="Seattle"/>
    <x v="3"/>
    <n v="363.58"/>
    <n v="0.25"/>
    <n v="2181.4899999999998"/>
    <n v="5"/>
  </r>
  <r>
    <d v="2023-03-01T00:00:00"/>
    <s v="Clothing"/>
    <x v="20"/>
    <s v="West"/>
    <s v="Los Angeles"/>
    <x v="2"/>
    <n v="147.08000000000001"/>
    <n v="0.3"/>
    <n v="102.96"/>
    <n v="4"/>
  </r>
  <r>
    <d v="2023-03-02T00:00:00"/>
    <s v="Clothing"/>
    <x v="21"/>
    <s v="West"/>
    <s v="Seattle"/>
    <x v="9"/>
    <n v="275.89999999999998"/>
    <n v="0.3"/>
    <n v="1931.27"/>
    <n v="5"/>
  </r>
  <r>
    <d v="2023-03-04T00:00:00"/>
    <s v="Clothing"/>
    <x v="19"/>
    <s v="East"/>
    <s v="Philadelphia"/>
    <x v="5"/>
    <n v="373.32"/>
    <n v="0.2"/>
    <n v="1194.6099999999999"/>
    <n v="4"/>
  </r>
  <r>
    <d v="2023-03-04T00:00:00"/>
    <s v="Clothing"/>
    <x v="21"/>
    <s v="South"/>
    <s v="Miami"/>
    <x v="3"/>
    <n v="406.84"/>
    <n v="0"/>
    <n v="3254.71"/>
    <n v="5"/>
  </r>
  <r>
    <d v="2023-03-05T00:00:00"/>
    <s v="Clothing"/>
    <x v="20"/>
    <s v="North"/>
    <s v="Chicago"/>
    <x v="9"/>
    <n v="260.93"/>
    <n v="0.2"/>
    <n v="2087.4"/>
    <n v="4"/>
  </r>
  <r>
    <d v="2023-03-05T00:00:00"/>
    <s v="Clothing"/>
    <x v="18"/>
    <s v="West"/>
    <s v="San Francisco"/>
    <x v="8"/>
    <n v="274.49"/>
    <n v="0"/>
    <n v="1646.96"/>
    <n v="3"/>
  </r>
  <r>
    <d v="2023-03-08T00:00:00"/>
    <s v="Clothing"/>
    <x v="19"/>
    <s v="South"/>
    <s v="Miami"/>
    <x v="1"/>
    <n v="270.32"/>
    <n v="0.1"/>
    <n v="1703.02"/>
    <n v="5"/>
  </r>
  <r>
    <d v="2023-03-08T00:00:00"/>
    <s v="Sports"/>
    <x v="8"/>
    <s v="North"/>
    <s v="Chicago"/>
    <x v="5"/>
    <n v="169.72"/>
    <n v="0.25"/>
    <n v="509.16"/>
    <n v="4"/>
  </r>
  <r>
    <d v="2023-03-08T00:00:00"/>
    <s v="Home &amp; Garden"/>
    <x v="22"/>
    <s v="South"/>
    <s v="Miami"/>
    <x v="0"/>
    <n v="463.89"/>
    <n v="0.1"/>
    <n v="2087.4899999999998"/>
    <n v="3"/>
  </r>
  <r>
    <d v="2023-03-08T00:00:00"/>
    <s v="Sports"/>
    <x v="5"/>
    <s v="South"/>
    <s v="Houston"/>
    <x v="0"/>
    <n v="285.02999999999997"/>
    <n v="0.2"/>
    <n v="1140.0999999999999"/>
    <n v="3"/>
  </r>
  <r>
    <d v="2023-03-09T00:00:00"/>
    <s v="Clothing"/>
    <x v="18"/>
    <s v="South"/>
    <s v="Miami"/>
    <x v="7"/>
    <n v="29.09"/>
    <n v="0.1"/>
    <n v="52.37"/>
    <n v="4"/>
  </r>
  <r>
    <d v="2023-03-09T00:00:00"/>
    <s v="Books"/>
    <x v="4"/>
    <s v="South"/>
    <s v="Atlanta"/>
    <x v="3"/>
    <n v="364.22"/>
    <n v="0"/>
    <n v="2913.75"/>
    <n v="4"/>
  </r>
  <r>
    <d v="2023-03-10T00:00:00"/>
    <s v="Sports"/>
    <x v="8"/>
    <s v="East"/>
    <s v="Philadelphia"/>
    <x v="8"/>
    <n v="53.46"/>
    <n v="0"/>
    <n v="320.79000000000002"/>
    <n v="5"/>
  </r>
  <r>
    <d v="2023-03-10T00:00:00"/>
    <s v="Books"/>
    <x v="23"/>
    <s v="South"/>
    <s v="Houston"/>
    <x v="9"/>
    <n v="22.46"/>
    <n v="0.3"/>
    <n v="157.19"/>
    <n v="4"/>
  </r>
  <r>
    <d v="2023-03-12T00:00:00"/>
    <s v="Sports"/>
    <x v="10"/>
    <s v="North"/>
    <s v="New York"/>
    <x v="5"/>
    <n v="302.97000000000003"/>
    <n v="0.25"/>
    <n v="908.91"/>
    <n v="3"/>
  </r>
  <r>
    <d v="2023-03-14T00:00:00"/>
    <s v="Clothing"/>
    <x v="21"/>
    <s v="West"/>
    <s v="Seattle"/>
    <x v="9"/>
    <n v="297.25"/>
    <n v="0.1"/>
    <n v="2675.27"/>
    <n v="3"/>
  </r>
  <r>
    <d v="2023-03-15T00:00:00"/>
    <s v="Sports"/>
    <x v="10"/>
    <s v="South"/>
    <s v="Miami"/>
    <x v="7"/>
    <n v="70.91"/>
    <n v="0.2"/>
    <n v="113.45"/>
    <n v="3"/>
  </r>
  <r>
    <d v="2023-03-15T00:00:00"/>
    <s v="Sports"/>
    <x v="5"/>
    <s v="East"/>
    <s v="Baltimore"/>
    <x v="7"/>
    <n v="383.6"/>
    <n v="0.2"/>
    <n v="613.77"/>
    <n v="4"/>
  </r>
  <r>
    <d v="2023-03-16T00:00:00"/>
    <s v="Sports"/>
    <x v="2"/>
    <s v="South"/>
    <s v="Houston"/>
    <x v="2"/>
    <n v="136.54"/>
    <n v="0.3"/>
    <n v="95.58"/>
    <n v="4"/>
  </r>
  <r>
    <d v="2023-03-16T00:00:00"/>
    <s v="Electronics"/>
    <x v="9"/>
    <s v="South"/>
    <s v="Houston"/>
    <x v="9"/>
    <n v="492.97"/>
    <n v="0.25"/>
    <n v="3697.27"/>
    <n v="4"/>
  </r>
  <r>
    <d v="2023-03-17T00:00:00"/>
    <s v="Home &amp; Garden"/>
    <x v="7"/>
    <s v="East"/>
    <s v="Philadelphia"/>
    <x v="9"/>
    <n v="202.3"/>
    <n v="0.2"/>
    <n v="1618.38"/>
    <n v="5"/>
  </r>
  <r>
    <d v="2023-03-17T00:00:00"/>
    <s v="Sports"/>
    <x v="5"/>
    <s v="North"/>
    <s v="Boston"/>
    <x v="3"/>
    <n v="126.44"/>
    <n v="0.3"/>
    <n v="708.08"/>
    <n v="4"/>
  </r>
  <r>
    <d v="2023-03-17T00:00:00"/>
    <s v="Books"/>
    <x v="15"/>
    <s v="East"/>
    <s v="Baltimore"/>
    <x v="0"/>
    <n v="68.88"/>
    <n v="0.3"/>
    <n v="241.08"/>
    <n v="5"/>
  </r>
  <r>
    <d v="2023-03-17T00:00:00"/>
    <s v="Clothing"/>
    <x v="16"/>
    <s v="North"/>
    <s v="Chicago"/>
    <x v="9"/>
    <n v="200.25"/>
    <n v="0.25"/>
    <n v="1501.89"/>
    <n v="4"/>
  </r>
  <r>
    <d v="2023-03-18T00:00:00"/>
    <s v="Clothing"/>
    <x v="16"/>
    <s v="East"/>
    <s v="Philadelphia"/>
    <x v="8"/>
    <n v="111.89"/>
    <n v="0.25"/>
    <n v="503.51"/>
    <n v="5"/>
  </r>
  <r>
    <d v="2023-03-19T00:00:00"/>
    <s v="Home &amp; Garden"/>
    <x v="12"/>
    <s v="South"/>
    <s v="Houston"/>
    <x v="0"/>
    <n v="487.45"/>
    <n v="0.2"/>
    <n v="1949.81"/>
    <n v="5"/>
  </r>
  <r>
    <d v="2023-03-20T00:00:00"/>
    <s v="Clothing"/>
    <x v="18"/>
    <s v="North"/>
    <s v="Boston"/>
    <x v="3"/>
    <n v="98.23"/>
    <n v="0.25"/>
    <n v="589.4"/>
    <n v="3"/>
  </r>
  <r>
    <d v="2023-03-21T00:00:00"/>
    <s v="Sports"/>
    <x v="2"/>
    <s v="East"/>
    <s v="Baltimore"/>
    <x v="1"/>
    <n v="426.52"/>
    <n v="0.25"/>
    <n v="2239.2199999999998"/>
    <n v="4"/>
  </r>
  <r>
    <d v="2023-03-22T00:00:00"/>
    <s v="Clothing"/>
    <x v="21"/>
    <s v="North"/>
    <s v="Chicago"/>
    <x v="5"/>
    <n v="472"/>
    <n v="0.2"/>
    <n v="1510.39"/>
    <n v="4"/>
  </r>
  <r>
    <d v="2023-03-23T00:00:00"/>
    <s v="Sports"/>
    <x v="13"/>
    <s v="West"/>
    <s v="Seattle"/>
    <x v="7"/>
    <n v="404.47"/>
    <n v="0.25"/>
    <n v="606.71"/>
    <n v="4"/>
  </r>
  <r>
    <d v="2023-03-23T00:00:00"/>
    <s v="Clothing"/>
    <x v="20"/>
    <s v="North"/>
    <s v="New York"/>
    <x v="8"/>
    <n v="441.43"/>
    <n v="0.1"/>
    <n v="2383.7199999999998"/>
    <n v="5"/>
  </r>
  <r>
    <d v="2023-03-24T00:00:00"/>
    <s v="Electronics"/>
    <x v="11"/>
    <s v="East"/>
    <s v="Washington DC"/>
    <x v="8"/>
    <n v="130.52000000000001"/>
    <n v="0.25"/>
    <n v="587.34"/>
    <n v="5"/>
  </r>
  <r>
    <d v="2023-03-26T00:00:00"/>
    <s v="Electronics"/>
    <x v="9"/>
    <s v="West"/>
    <s v="San Francisco"/>
    <x v="0"/>
    <n v="297.51"/>
    <n v="0"/>
    <n v="1487.54"/>
    <n v="4"/>
  </r>
  <r>
    <d v="2023-03-27T00:00:00"/>
    <s v="Home &amp; Garden"/>
    <x v="12"/>
    <s v="North"/>
    <s v="Boston"/>
    <x v="1"/>
    <n v="78.64"/>
    <n v="0.2"/>
    <n v="440.39"/>
    <n v="4"/>
  </r>
  <r>
    <d v="2023-03-27T00:00:00"/>
    <s v="Clothing"/>
    <x v="21"/>
    <s v="West"/>
    <s v="Los Angeles"/>
    <x v="9"/>
    <n v="431.6"/>
    <n v="0"/>
    <n v="4315.9799999999996"/>
    <n v="4"/>
  </r>
  <r>
    <d v="2023-03-28T00:00:00"/>
    <s v="Books"/>
    <x v="4"/>
    <s v="East"/>
    <s v="Baltimore"/>
    <x v="4"/>
    <n v="266.32"/>
    <n v="0"/>
    <n v="2396.86"/>
    <n v="3"/>
  </r>
  <r>
    <d v="2023-03-29T00:00:00"/>
    <s v="Electronics"/>
    <x v="14"/>
    <s v="South"/>
    <s v="Atlanta"/>
    <x v="1"/>
    <n v="95.44"/>
    <n v="0"/>
    <n v="668.08"/>
    <n v="4"/>
  </r>
  <r>
    <d v="2023-04-01T00:00:00"/>
    <s v="Electronics"/>
    <x v="24"/>
    <s v="North"/>
    <s v="Chicago"/>
    <x v="9"/>
    <n v="255.51"/>
    <n v="0.3"/>
    <n v="1788.57"/>
    <n v="5"/>
  </r>
  <r>
    <d v="2023-04-02T00:00:00"/>
    <s v="Books"/>
    <x v="3"/>
    <s v="South"/>
    <s v="Miami"/>
    <x v="1"/>
    <n v="278.97000000000003"/>
    <n v="0.1"/>
    <n v="1757.52"/>
    <n v="5"/>
  </r>
  <r>
    <d v="2023-04-02T00:00:00"/>
    <s v="Electronics"/>
    <x v="1"/>
    <s v="West"/>
    <s v="San Francisco"/>
    <x v="8"/>
    <n v="174.94"/>
    <n v="0.1"/>
    <n v="944.65"/>
    <n v="5"/>
  </r>
  <r>
    <d v="2023-04-03T00:00:00"/>
    <s v="Sports"/>
    <x v="2"/>
    <s v="South"/>
    <s v="Atlanta"/>
    <x v="4"/>
    <n v="382.51"/>
    <n v="0.2"/>
    <n v="2754.08"/>
    <n v="5"/>
  </r>
  <r>
    <d v="2023-04-04T00:00:00"/>
    <s v="Electronics"/>
    <x v="14"/>
    <s v="South"/>
    <s v="Miami"/>
    <x v="0"/>
    <n v="415.13"/>
    <n v="0.1"/>
    <n v="1868.09"/>
    <n v="5"/>
  </r>
  <r>
    <d v="2023-04-05T00:00:00"/>
    <s v="Home &amp; Garden"/>
    <x v="12"/>
    <s v="West"/>
    <s v="Los Angeles"/>
    <x v="6"/>
    <n v="295.85000000000002"/>
    <n v="0"/>
    <n v="887.55"/>
    <n v="4"/>
  </r>
  <r>
    <d v="2023-04-05T00:00:00"/>
    <s v="Books"/>
    <x v="23"/>
    <s v="South"/>
    <s v="Atlanta"/>
    <x v="4"/>
    <n v="195.09"/>
    <n v="0"/>
    <n v="1755.78"/>
    <n v="5"/>
  </r>
  <r>
    <d v="2023-04-05T00:00:00"/>
    <s v="Sports"/>
    <x v="8"/>
    <s v="East"/>
    <s v="Baltimore"/>
    <x v="2"/>
    <n v="18.87"/>
    <n v="0.25"/>
    <n v="14.16"/>
    <n v="4"/>
  </r>
  <r>
    <d v="2023-04-06T00:00:00"/>
    <s v="Clothing"/>
    <x v="16"/>
    <s v="East"/>
    <s v="Washington DC"/>
    <x v="2"/>
    <n v="450.79"/>
    <n v="0.1"/>
    <n v="405.71"/>
    <n v="5"/>
  </r>
  <r>
    <d v="2023-04-08T00:00:00"/>
    <s v="Books"/>
    <x v="15"/>
    <s v="South"/>
    <s v="Atlanta"/>
    <x v="9"/>
    <n v="413.07"/>
    <n v="0.2"/>
    <n v="3304.59"/>
    <n v="4"/>
  </r>
  <r>
    <d v="2023-04-08T00:00:00"/>
    <s v="Books"/>
    <x v="4"/>
    <s v="North"/>
    <s v="New York"/>
    <x v="5"/>
    <n v="269.52999999999997"/>
    <n v="0.1"/>
    <n v="970.3"/>
    <n v="3"/>
  </r>
  <r>
    <d v="2023-04-09T00:00:00"/>
    <s v="Books"/>
    <x v="15"/>
    <s v="South"/>
    <s v="Atlanta"/>
    <x v="5"/>
    <n v="414.96"/>
    <n v="0.3"/>
    <n v="1161.9000000000001"/>
    <n v="4"/>
  </r>
  <r>
    <d v="2023-04-09T00:00:00"/>
    <s v="Electronics"/>
    <x v="11"/>
    <s v="North"/>
    <s v="Chicago"/>
    <x v="2"/>
    <n v="477.88"/>
    <n v="0.3"/>
    <n v="334.52"/>
    <n v="5"/>
  </r>
  <r>
    <d v="2023-04-10T00:00:00"/>
    <s v="Electronics"/>
    <x v="11"/>
    <s v="South"/>
    <s v="Houston"/>
    <x v="3"/>
    <n v="12.71"/>
    <n v="0.2"/>
    <n v="81.319999999999993"/>
    <n v="4"/>
  </r>
  <r>
    <d v="2023-04-11T00:00:00"/>
    <s v="Books"/>
    <x v="23"/>
    <s v="North"/>
    <s v="Boston"/>
    <x v="8"/>
    <n v="378.68"/>
    <n v="0.3"/>
    <n v="1590.45"/>
    <n v="5"/>
  </r>
  <r>
    <d v="2023-04-11T00:00:00"/>
    <s v="Clothing"/>
    <x v="18"/>
    <s v="South"/>
    <s v="Houston"/>
    <x v="8"/>
    <n v="470.52"/>
    <n v="0.2"/>
    <n v="2258.4899999999998"/>
    <n v="4"/>
  </r>
  <r>
    <d v="2023-04-11T00:00:00"/>
    <s v="Sports"/>
    <x v="8"/>
    <s v="West"/>
    <s v="Los Angeles"/>
    <x v="0"/>
    <n v="122.79"/>
    <n v="0.2"/>
    <n v="491.16"/>
    <n v="4"/>
  </r>
  <r>
    <d v="2023-04-13T00:00:00"/>
    <s v="Electronics"/>
    <x v="24"/>
    <s v="South"/>
    <s v="Atlanta"/>
    <x v="2"/>
    <n v="343.12"/>
    <n v="0"/>
    <n v="343.12"/>
    <n v="4"/>
  </r>
  <r>
    <d v="2023-04-13T00:00:00"/>
    <s v="Home &amp; Garden"/>
    <x v="22"/>
    <s v="North"/>
    <s v="New York"/>
    <x v="6"/>
    <n v="175.62"/>
    <n v="0.25"/>
    <n v="395.14"/>
    <n v="4"/>
  </r>
  <r>
    <d v="2023-04-13T00:00:00"/>
    <s v="Clothing"/>
    <x v="19"/>
    <s v="East"/>
    <s v="Washington DC"/>
    <x v="3"/>
    <n v="453.62"/>
    <n v="0.25"/>
    <n v="2721.73"/>
    <n v="5"/>
  </r>
  <r>
    <d v="2023-04-15T00:00:00"/>
    <s v="Clothing"/>
    <x v="21"/>
    <s v="West"/>
    <s v="San Francisco"/>
    <x v="3"/>
    <n v="439.56"/>
    <n v="0.2"/>
    <n v="2813.21"/>
    <n v="5"/>
  </r>
  <r>
    <d v="2023-04-15T00:00:00"/>
    <s v="Clothing"/>
    <x v="21"/>
    <s v="West"/>
    <s v="San Francisco"/>
    <x v="6"/>
    <n v="75.59"/>
    <n v="0.3"/>
    <n v="158.72999999999999"/>
    <n v="5"/>
  </r>
  <r>
    <d v="2023-04-15T00:00:00"/>
    <s v="Electronics"/>
    <x v="24"/>
    <s v="North"/>
    <s v="Chicago"/>
    <x v="4"/>
    <n v="446.36"/>
    <n v="0.25"/>
    <n v="3012.92"/>
    <n v="3"/>
  </r>
  <r>
    <d v="2023-04-16T00:00:00"/>
    <s v="Home &amp; Garden"/>
    <x v="7"/>
    <s v="North"/>
    <s v="New York"/>
    <x v="1"/>
    <n v="266.57"/>
    <n v="0"/>
    <n v="1865.96"/>
    <n v="5"/>
  </r>
  <r>
    <d v="2023-04-20T00:00:00"/>
    <s v="Sports"/>
    <x v="10"/>
    <s v="West"/>
    <s v="San Francisco"/>
    <x v="4"/>
    <n v="374.68"/>
    <n v="0.1"/>
    <n v="3034.93"/>
    <n v="4"/>
  </r>
  <r>
    <d v="2023-04-21T00:00:00"/>
    <s v="Sports"/>
    <x v="13"/>
    <s v="East"/>
    <s v="Washington DC"/>
    <x v="1"/>
    <n v="219.87"/>
    <n v="0.25"/>
    <n v="1154.3399999999999"/>
    <n v="5"/>
  </r>
  <r>
    <d v="2023-04-22T00:00:00"/>
    <s v="Electronics"/>
    <x v="1"/>
    <s v="East"/>
    <s v="Washington DC"/>
    <x v="5"/>
    <n v="399.07"/>
    <n v="0.3"/>
    <n v="1117.4000000000001"/>
    <n v="3"/>
  </r>
  <r>
    <d v="2023-04-22T00:00:00"/>
    <s v="Clothing"/>
    <x v="18"/>
    <s v="South"/>
    <s v="Miami"/>
    <x v="3"/>
    <n v="423.82"/>
    <n v="0.3"/>
    <n v="2373.4"/>
    <n v="4"/>
  </r>
  <r>
    <d v="2023-04-23T00:00:00"/>
    <s v="Home &amp; Garden"/>
    <x v="7"/>
    <s v="East"/>
    <s v="Washington DC"/>
    <x v="6"/>
    <n v="444.98"/>
    <n v="0.2"/>
    <n v="1067.94"/>
    <n v="4"/>
  </r>
  <r>
    <d v="2023-04-26T00:00:00"/>
    <s v="Clothing"/>
    <x v="20"/>
    <s v="North"/>
    <s v="Chicago"/>
    <x v="6"/>
    <n v="453.04"/>
    <n v="0.25"/>
    <n v="1019.33"/>
    <n v="3"/>
  </r>
  <r>
    <d v="2023-04-27T00:00:00"/>
    <s v="Books"/>
    <x v="0"/>
    <s v="South"/>
    <s v="Atlanta"/>
    <x v="8"/>
    <n v="355.49"/>
    <n v="0.1"/>
    <n v="1919.65"/>
    <n v="4"/>
  </r>
  <r>
    <d v="2023-04-27T00:00:00"/>
    <s v="Sports"/>
    <x v="10"/>
    <s v="South"/>
    <s v="Atlanta"/>
    <x v="1"/>
    <n v="33.380000000000003"/>
    <n v="0.1"/>
    <n v="210.3"/>
    <n v="4"/>
  </r>
  <r>
    <d v="2023-04-28T00:00:00"/>
    <s v="Books"/>
    <x v="0"/>
    <s v="South"/>
    <s v="Miami"/>
    <x v="7"/>
    <n v="447.03"/>
    <n v="0.1"/>
    <n v="804.65"/>
    <n v="5"/>
  </r>
  <r>
    <d v="2023-04-28T00:00:00"/>
    <s v="Home &amp; Garden"/>
    <x v="6"/>
    <s v="North"/>
    <s v="Boston"/>
    <x v="9"/>
    <n v="312.93"/>
    <n v="0.3"/>
    <n v="2190.4899999999998"/>
    <n v="5"/>
  </r>
  <r>
    <d v="2023-05-01T00:00:00"/>
    <s v="Home &amp; Garden"/>
    <x v="22"/>
    <s v="East"/>
    <s v="Washington DC"/>
    <x v="4"/>
    <n v="425.1"/>
    <n v="0"/>
    <n v="3825.9"/>
    <n v="4"/>
  </r>
  <r>
    <d v="2023-05-02T00:00:00"/>
    <s v="Clothing"/>
    <x v="18"/>
    <s v="North"/>
    <s v="New York"/>
    <x v="7"/>
    <n v="345.27"/>
    <n v="0.25"/>
    <n v="517.91"/>
    <n v="4"/>
  </r>
  <r>
    <d v="2023-05-03T00:00:00"/>
    <s v="Books"/>
    <x v="4"/>
    <s v="East"/>
    <s v="Baltimore"/>
    <x v="7"/>
    <n v="239.64"/>
    <n v="0.1"/>
    <n v="431.36"/>
    <n v="4"/>
  </r>
  <r>
    <d v="2023-05-04T00:00:00"/>
    <s v="Electronics"/>
    <x v="11"/>
    <s v="North"/>
    <s v="New York"/>
    <x v="0"/>
    <n v="380.97"/>
    <n v="0.2"/>
    <n v="1523.88"/>
    <n v="3"/>
  </r>
  <r>
    <d v="2023-05-05T00:00:00"/>
    <s v="Books"/>
    <x v="0"/>
    <s v="North"/>
    <s v="New York"/>
    <x v="4"/>
    <n v="167.18"/>
    <n v="0.3"/>
    <n v="1053.25"/>
    <n v="4"/>
  </r>
  <r>
    <d v="2023-05-07T00:00:00"/>
    <s v="Books"/>
    <x v="4"/>
    <s v="East"/>
    <s v="Philadelphia"/>
    <x v="7"/>
    <n v="52.59"/>
    <n v="0.1"/>
    <n v="94.66"/>
    <n v="3"/>
  </r>
  <r>
    <d v="2023-05-08T00:00:00"/>
    <s v="Clothing"/>
    <x v="18"/>
    <s v="North"/>
    <s v="Chicago"/>
    <x v="3"/>
    <n v="449.42"/>
    <n v="0.2"/>
    <n v="2876.26"/>
    <n v="4"/>
  </r>
  <r>
    <d v="2023-05-12T00:00:00"/>
    <s v="Clothing"/>
    <x v="19"/>
    <s v="South"/>
    <s v="Miami"/>
    <x v="4"/>
    <n v="12.27"/>
    <n v="0"/>
    <n v="110.43"/>
    <n v="4"/>
  </r>
  <r>
    <d v="2023-05-13T00:00:00"/>
    <s v="Clothing"/>
    <x v="16"/>
    <s v="South"/>
    <s v="Atlanta"/>
    <x v="8"/>
    <n v="186.15"/>
    <n v="0.3"/>
    <n v="781.83"/>
    <n v="4"/>
  </r>
  <r>
    <d v="2023-05-13T00:00:00"/>
    <s v="Home &amp; Garden"/>
    <x v="17"/>
    <s v="West"/>
    <s v="San Francisco"/>
    <x v="1"/>
    <n v="242.93"/>
    <n v="0.3"/>
    <n v="1190.3599999999999"/>
    <n v="4"/>
  </r>
  <r>
    <d v="2023-05-14T00:00:00"/>
    <s v="Books"/>
    <x v="23"/>
    <s v="South"/>
    <s v="Miami"/>
    <x v="5"/>
    <n v="12.6"/>
    <n v="0"/>
    <n v="50.39"/>
    <n v="5"/>
  </r>
  <r>
    <d v="2023-05-16T00:00:00"/>
    <s v="Sports"/>
    <x v="2"/>
    <s v="South"/>
    <s v="Miami"/>
    <x v="6"/>
    <n v="386.59"/>
    <n v="0"/>
    <n v="1159.77"/>
    <n v="4"/>
  </r>
  <r>
    <d v="2023-05-16T00:00:00"/>
    <s v="Electronics"/>
    <x v="24"/>
    <s v="West"/>
    <s v="Los Angeles"/>
    <x v="2"/>
    <n v="159.08000000000001"/>
    <n v="0.3"/>
    <n v="111.36"/>
    <n v="4"/>
  </r>
  <r>
    <d v="2023-05-17T00:00:00"/>
    <s v="Electronics"/>
    <x v="9"/>
    <s v="West"/>
    <s v="San Francisco"/>
    <x v="8"/>
    <n v="408.27"/>
    <n v="0"/>
    <n v="2449.63"/>
    <n v="5"/>
  </r>
  <r>
    <d v="2023-05-18T00:00:00"/>
    <s v="Clothing"/>
    <x v="20"/>
    <s v="South"/>
    <s v="Atlanta"/>
    <x v="9"/>
    <n v="348.29"/>
    <n v="0"/>
    <n v="3482.93"/>
    <n v="4"/>
  </r>
  <r>
    <d v="2023-05-18T00:00:00"/>
    <s v="Electronics"/>
    <x v="11"/>
    <s v="East"/>
    <s v="Philadelphia"/>
    <x v="6"/>
    <n v="93.05"/>
    <n v="0"/>
    <n v="279.14999999999998"/>
    <n v="4"/>
  </r>
  <r>
    <d v="2023-05-20T00:00:00"/>
    <s v="Clothing"/>
    <x v="20"/>
    <s v="North"/>
    <s v="Boston"/>
    <x v="2"/>
    <n v="13.69"/>
    <n v="0.3"/>
    <n v="9.58"/>
    <n v="5"/>
  </r>
  <r>
    <d v="2023-05-20T00:00:00"/>
    <s v="Home &amp; Garden"/>
    <x v="6"/>
    <s v="North"/>
    <s v="New York"/>
    <x v="0"/>
    <n v="230.77"/>
    <n v="0"/>
    <n v="1153.83"/>
    <n v="4"/>
  </r>
  <r>
    <d v="2023-05-26T00:00:00"/>
    <s v="Books"/>
    <x v="15"/>
    <s v="West"/>
    <s v="Los Angeles"/>
    <x v="0"/>
    <n v="349.29"/>
    <n v="0.1"/>
    <n v="1571.82"/>
    <n v="4"/>
  </r>
  <r>
    <d v="2023-05-28T00:00:00"/>
    <s v="Sports"/>
    <x v="8"/>
    <s v="West"/>
    <s v="Los Angeles"/>
    <x v="7"/>
    <n v="262.99"/>
    <n v="0.2"/>
    <n v="420.78"/>
    <n v="3"/>
  </r>
  <r>
    <d v="2023-05-29T00:00:00"/>
    <s v="Electronics"/>
    <x v="9"/>
    <s v="West"/>
    <s v="Los Angeles"/>
    <x v="5"/>
    <n v="291.98"/>
    <n v="0.1"/>
    <n v="1051.1400000000001"/>
    <n v="4"/>
  </r>
  <r>
    <d v="2023-05-29T00:00:00"/>
    <s v="Clothing"/>
    <x v="19"/>
    <s v="North"/>
    <s v="New York"/>
    <x v="7"/>
    <n v="256.31"/>
    <n v="0.3"/>
    <n v="358.84"/>
    <n v="3"/>
  </r>
  <r>
    <d v="2023-06-01T00:00:00"/>
    <s v="Books"/>
    <x v="15"/>
    <s v="East"/>
    <s v="Washington DC"/>
    <x v="7"/>
    <n v="304.95"/>
    <n v="0.2"/>
    <n v="487.92"/>
    <n v="4"/>
  </r>
  <r>
    <d v="2023-06-02T00:00:00"/>
    <s v="Sports"/>
    <x v="10"/>
    <s v="East"/>
    <s v="Washington DC"/>
    <x v="0"/>
    <n v="454.17"/>
    <n v="0.2"/>
    <n v="1816.69"/>
    <n v="4"/>
  </r>
  <r>
    <d v="2023-06-02T00:00:00"/>
    <s v="Books"/>
    <x v="23"/>
    <s v="West"/>
    <s v="Los Angeles"/>
    <x v="0"/>
    <n v="485.26"/>
    <n v="0.25"/>
    <n v="1819.71"/>
    <n v="5"/>
  </r>
  <r>
    <d v="2023-06-04T00:00:00"/>
    <s v="Electronics"/>
    <x v="14"/>
    <s v="North"/>
    <s v="Chicago"/>
    <x v="0"/>
    <n v="310.57"/>
    <n v="0.1"/>
    <n v="1397.58"/>
    <n v="4"/>
  </r>
  <r>
    <d v="2023-06-05T00:00:00"/>
    <s v="Home &amp; Garden"/>
    <x v="17"/>
    <s v="East"/>
    <s v="Washington DC"/>
    <x v="2"/>
    <n v="245.38"/>
    <n v="0"/>
    <n v="245.38"/>
    <n v="4"/>
  </r>
  <r>
    <d v="2023-06-07T00:00:00"/>
    <s v="Home &amp; Garden"/>
    <x v="17"/>
    <s v="East"/>
    <s v="Washington DC"/>
    <x v="1"/>
    <n v="294.47000000000003"/>
    <n v="0.3"/>
    <n v="1442.89"/>
    <n v="4"/>
  </r>
  <r>
    <d v="2023-06-09T00:00:00"/>
    <s v="Home &amp; Garden"/>
    <x v="6"/>
    <s v="West"/>
    <s v="Seattle"/>
    <x v="6"/>
    <n v="100.42"/>
    <n v="0.1"/>
    <n v="271.12"/>
    <n v="4"/>
  </r>
  <r>
    <d v="2023-06-09T00:00:00"/>
    <s v="Home &amp; Garden"/>
    <x v="22"/>
    <s v="East"/>
    <s v="Washington DC"/>
    <x v="3"/>
    <n v="26.85"/>
    <n v="0"/>
    <n v="214.8"/>
    <n v="4"/>
  </r>
  <r>
    <d v="2023-06-13T00:00:00"/>
    <s v="Electronics"/>
    <x v="24"/>
    <s v="West"/>
    <s v="San Francisco"/>
    <x v="8"/>
    <n v="307.95999999999998"/>
    <n v="0.1"/>
    <n v="1663"/>
    <n v="5"/>
  </r>
  <r>
    <d v="2023-06-14T00:00:00"/>
    <s v="Electronics"/>
    <x v="1"/>
    <s v="West"/>
    <s v="Los Angeles"/>
    <x v="4"/>
    <n v="245.76"/>
    <n v="0.2"/>
    <n v="1769.48"/>
    <n v="5"/>
  </r>
  <r>
    <d v="2023-06-14T00:00:00"/>
    <s v="Books"/>
    <x v="4"/>
    <s v="West"/>
    <s v="San Francisco"/>
    <x v="2"/>
    <n v="145.66999999999999"/>
    <n v="0"/>
    <n v="145.66999999999999"/>
    <n v="3"/>
  </r>
  <r>
    <d v="2023-06-16T00:00:00"/>
    <s v="Home &amp; Garden"/>
    <x v="7"/>
    <s v="West"/>
    <s v="San Francisco"/>
    <x v="4"/>
    <n v="253.06"/>
    <n v="0.1"/>
    <n v="2049.77"/>
    <n v="5"/>
  </r>
  <r>
    <d v="2023-06-16T00:00:00"/>
    <s v="Electronics"/>
    <x v="24"/>
    <s v="North"/>
    <s v="New York"/>
    <x v="0"/>
    <n v="290.42"/>
    <n v="0.25"/>
    <n v="1089.0899999999999"/>
    <n v="3"/>
  </r>
  <r>
    <d v="2023-06-18T00:00:00"/>
    <s v="Electronics"/>
    <x v="11"/>
    <s v="South"/>
    <s v="Houston"/>
    <x v="3"/>
    <n v="254.14"/>
    <n v="0.3"/>
    <n v="1423.19"/>
    <n v="3"/>
  </r>
  <r>
    <d v="2023-06-21T00:00:00"/>
    <s v="Books"/>
    <x v="4"/>
    <s v="North"/>
    <s v="New York"/>
    <x v="2"/>
    <n v="60.43"/>
    <n v="0.3"/>
    <n v="42.3"/>
    <n v="4"/>
  </r>
  <r>
    <d v="2023-06-22T00:00:00"/>
    <s v="Home &amp; Garden"/>
    <x v="17"/>
    <s v="East"/>
    <s v="Baltimore"/>
    <x v="9"/>
    <n v="27.97"/>
    <n v="0.2"/>
    <n v="223.8"/>
    <n v="4"/>
  </r>
  <r>
    <d v="2023-06-24T00:00:00"/>
    <s v="Sports"/>
    <x v="13"/>
    <s v="West"/>
    <s v="San Francisco"/>
    <x v="5"/>
    <n v="167.11"/>
    <n v="0.2"/>
    <n v="534.77"/>
    <n v="3"/>
  </r>
  <r>
    <d v="2023-06-24T00:00:00"/>
    <s v="Home &amp; Garden"/>
    <x v="6"/>
    <s v="East"/>
    <s v="Washington DC"/>
    <x v="8"/>
    <n v="230.95"/>
    <n v="0.25"/>
    <n v="1039.26"/>
    <n v="5"/>
  </r>
  <r>
    <d v="2023-06-24T00:00:00"/>
    <s v="Clothing"/>
    <x v="20"/>
    <s v="West"/>
    <s v="San Francisco"/>
    <x v="1"/>
    <n v="461.21"/>
    <n v="0.2"/>
    <n v="2582.79"/>
    <n v="5"/>
  </r>
  <r>
    <d v="2023-06-25T00:00:00"/>
    <s v="Books"/>
    <x v="23"/>
    <s v="West"/>
    <s v="Seattle"/>
    <x v="2"/>
    <n v="41.8"/>
    <n v="0.1"/>
    <n v="37.619999999999997"/>
    <n v="4"/>
  </r>
  <r>
    <d v="2023-06-25T00:00:00"/>
    <s v="Sports"/>
    <x v="2"/>
    <s v="East"/>
    <s v="Philadelphia"/>
    <x v="0"/>
    <n v="132.15"/>
    <n v="0.3"/>
    <n v="462.54"/>
    <n v="4"/>
  </r>
  <r>
    <d v="2023-06-26T00:00:00"/>
    <s v="Home &amp; Garden"/>
    <x v="6"/>
    <s v="North"/>
    <s v="Boston"/>
    <x v="2"/>
    <n v="127.39"/>
    <n v="0.1"/>
    <n v="114.65"/>
    <n v="5"/>
  </r>
  <r>
    <d v="2023-06-27T00:00:00"/>
    <s v="Home &amp; Garden"/>
    <x v="7"/>
    <s v="West"/>
    <s v="San Francisco"/>
    <x v="2"/>
    <n v="498.89"/>
    <n v="0.2"/>
    <n v="399.11"/>
    <n v="3"/>
  </r>
  <r>
    <d v="2023-06-27T00:00:00"/>
    <s v="Electronics"/>
    <x v="11"/>
    <s v="East"/>
    <s v="Philadelphia"/>
    <x v="0"/>
    <n v="464.88"/>
    <n v="0"/>
    <n v="2324.38"/>
    <n v="5"/>
  </r>
  <r>
    <d v="2023-06-28T00:00:00"/>
    <s v="Clothing"/>
    <x v="19"/>
    <s v="South"/>
    <s v="Houston"/>
    <x v="8"/>
    <n v="229.73"/>
    <n v="0.3"/>
    <n v="964.86"/>
    <n v="3"/>
  </r>
  <r>
    <d v="2023-06-28T00:00:00"/>
    <s v="Clothing"/>
    <x v="21"/>
    <s v="East"/>
    <s v="Washington DC"/>
    <x v="6"/>
    <n v="68.599999999999994"/>
    <n v="0.2"/>
    <n v="164.64"/>
    <n v="3"/>
  </r>
  <r>
    <d v="2023-06-28T00:00:00"/>
    <s v="Clothing"/>
    <x v="19"/>
    <s v="West"/>
    <s v="San Francisco"/>
    <x v="3"/>
    <n v="351.51"/>
    <n v="0.1"/>
    <n v="2530.88"/>
    <n v="4"/>
  </r>
  <r>
    <d v="2023-06-28T00:00:00"/>
    <s v="Books"/>
    <x v="3"/>
    <s v="East"/>
    <s v="Baltimore"/>
    <x v="6"/>
    <n v="212.18"/>
    <n v="0.1"/>
    <n v="572.89"/>
    <n v="3"/>
  </r>
  <r>
    <d v="2023-06-29T00:00:00"/>
    <s v="Books"/>
    <x v="4"/>
    <s v="South"/>
    <s v="Atlanta"/>
    <x v="7"/>
    <n v="168.05"/>
    <n v="0"/>
    <n v="336.1"/>
    <n v="3"/>
  </r>
  <r>
    <d v="2023-06-29T00:00:00"/>
    <s v="Books"/>
    <x v="15"/>
    <s v="North"/>
    <s v="Boston"/>
    <x v="6"/>
    <n v="197.41"/>
    <n v="0.25"/>
    <n v="444.16"/>
    <n v="3"/>
  </r>
  <r>
    <d v="2023-06-29T00:00:00"/>
    <s v="Books"/>
    <x v="3"/>
    <s v="North"/>
    <s v="New York"/>
    <x v="8"/>
    <n v="206.42"/>
    <n v="0.1"/>
    <n v="1114.6500000000001"/>
    <n v="5"/>
  </r>
  <r>
    <d v="2023-06-30T00:00:00"/>
    <s v="Sports"/>
    <x v="13"/>
    <s v="South"/>
    <s v="Houston"/>
    <x v="2"/>
    <n v="41.14"/>
    <n v="0.3"/>
    <n v="28.8"/>
    <n v="4"/>
  </r>
  <r>
    <d v="2023-06-30T00:00:00"/>
    <s v="Home &amp; Garden"/>
    <x v="17"/>
    <s v="North"/>
    <s v="New York"/>
    <x v="2"/>
    <n v="317.5"/>
    <n v="0.2"/>
    <n v="254"/>
    <n v="3"/>
  </r>
  <r>
    <d v="2023-07-02T00:00:00"/>
    <s v="Home &amp; Garden"/>
    <x v="6"/>
    <s v="South"/>
    <s v="Miami"/>
    <x v="6"/>
    <n v="322.33999999999997"/>
    <n v="0.25"/>
    <n v="725.27"/>
    <n v="5"/>
  </r>
  <r>
    <d v="2023-07-06T00:00:00"/>
    <s v="Books"/>
    <x v="4"/>
    <s v="North"/>
    <s v="New York"/>
    <x v="2"/>
    <n v="234.54"/>
    <n v="0.2"/>
    <n v="187.64"/>
    <n v="4"/>
  </r>
  <r>
    <d v="2023-07-07T00:00:00"/>
    <s v="Home &amp; Garden"/>
    <x v="17"/>
    <s v="South"/>
    <s v="Atlanta"/>
    <x v="5"/>
    <n v="401.16"/>
    <n v="0"/>
    <n v="1604.66"/>
    <n v="5"/>
  </r>
  <r>
    <d v="2023-07-08T00:00:00"/>
    <s v="Sports"/>
    <x v="5"/>
    <s v="South"/>
    <s v="Atlanta"/>
    <x v="0"/>
    <n v="92.78"/>
    <n v="0.25"/>
    <n v="347.92"/>
    <n v="4"/>
  </r>
  <r>
    <d v="2023-07-09T00:00:00"/>
    <s v="Home &amp; Garden"/>
    <x v="22"/>
    <s v="West"/>
    <s v="Seattle"/>
    <x v="6"/>
    <n v="305.2"/>
    <n v="0.25"/>
    <n v="686.69"/>
    <n v="4"/>
  </r>
  <r>
    <d v="2023-07-10T00:00:00"/>
    <s v="Home &amp; Garden"/>
    <x v="6"/>
    <s v="North"/>
    <s v="Chicago"/>
    <x v="0"/>
    <n v="492.57"/>
    <n v="0.25"/>
    <n v="1847.15"/>
    <n v="5"/>
  </r>
  <r>
    <d v="2023-07-10T00:00:00"/>
    <s v="Home &amp; Garden"/>
    <x v="17"/>
    <s v="North"/>
    <s v="Boston"/>
    <x v="0"/>
    <n v="252.27"/>
    <n v="0.1"/>
    <n v="1135.2"/>
    <n v="5"/>
  </r>
  <r>
    <d v="2023-07-11T00:00:00"/>
    <s v="Electronics"/>
    <x v="14"/>
    <s v="South"/>
    <s v="Atlanta"/>
    <x v="9"/>
    <n v="475.7"/>
    <n v="0.25"/>
    <n v="3567.76"/>
    <n v="4"/>
  </r>
  <r>
    <d v="2023-07-12T00:00:00"/>
    <s v="Clothing"/>
    <x v="19"/>
    <s v="South"/>
    <s v="Miami"/>
    <x v="0"/>
    <n v="378.66"/>
    <n v="0"/>
    <n v="1893.32"/>
    <n v="5"/>
  </r>
  <r>
    <d v="2023-07-15T00:00:00"/>
    <s v="Clothing"/>
    <x v="21"/>
    <s v="South"/>
    <s v="Atlanta"/>
    <x v="5"/>
    <n v="193.56"/>
    <n v="0.1"/>
    <n v="696.82"/>
    <n v="4"/>
  </r>
  <r>
    <d v="2023-07-18T00:00:00"/>
    <s v="Sports"/>
    <x v="2"/>
    <s v="South"/>
    <s v="Miami"/>
    <x v="5"/>
    <n v="154.28"/>
    <n v="0.3"/>
    <n v="431.98"/>
    <n v="3"/>
  </r>
  <r>
    <d v="2023-07-19T00:00:00"/>
    <s v="Sports"/>
    <x v="10"/>
    <s v="West"/>
    <s v="Los Angeles"/>
    <x v="6"/>
    <n v="192.42"/>
    <n v="0"/>
    <n v="577.26"/>
    <n v="4"/>
  </r>
  <r>
    <d v="2023-07-19T00:00:00"/>
    <s v="Clothing"/>
    <x v="20"/>
    <s v="North"/>
    <s v="Boston"/>
    <x v="7"/>
    <n v="229.23"/>
    <n v="0.2"/>
    <n v="366.77"/>
    <n v="4"/>
  </r>
  <r>
    <d v="2023-07-20T00:00:00"/>
    <s v="Sports"/>
    <x v="13"/>
    <s v="West"/>
    <s v="San Francisco"/>
    <x v="3"/>
    <n v="144.61000000000001"/>
    <n v="0.2"/>
    <n v="925.53"/>
    <n v="3"/>
  </r>
  <r>
    <d v="2023-07-22T00:00:00"/>
    <s v="Sports"/>
    <x v="10"/>
    <s v="North"/>
    <s v="Chicago"/>
    <x v="4"/>
    <n v="112.45"/>
    <n v="0.1"/>
    <n v="910.81"/>
    <n v="4"/>
  </r>
  <r>
    <d v="2023-07-22T00:00:00"/>
    <s v="Sports"/>
    <x v="10"/>
    <s v="South"/>
    <s v="Miami"/>
    <x v="8"/>
    <n v="139.94999999999999"/>
    <n v="0.3"/>
    <n v="587.79"/>
    <n v="4"/>
  </r>
  <r>
    <d v="2023-07-22T00:00:00"/>
    <s v="Clothing"/>
    <x v="19"/>
    <s v="North"/>
    <s v="Chicago"/>
    <x v="3"/>
    <n v="472.03"/>
    <n v="0"/>
    <n v="3776.21"/>
    <n v="4"/>
  </r>
  <r>
    <d v="2023-07-23T00:00:00"/>
    <s v="Clothing"/>
    <x v="21"/>
    <s v="South"/>
    <s v="Houston"/>
    <x v="1"/>
    <n v="16.5"/>
    <n v="0"/>
    <n v="115.5"/>
    <n v="4"/>
  </r>
  <r>
    <d v="2023-07-24T00:00:00"/>
    <s v="Home &amp; Garden"/>
    <x v="22"/>
    <s v="East"/>
    <s v="Baltimore"/>
    <x v="8"/>
    <n v="453.99"/>
    <n v="0.2"/>
    <n v="2179.14"/>
    <n v="4"/>
  </r>
  <r>
    <d v="2023-07-24T00:00:00"/>
    <s v="Books"/>
    <x v="4"/>
    <s v="East"/>
    <s v="Washington DC"/>
    <x v="3"/>
    <n v="67.59"/>
    <n v="0"/>
    <n v="540.70000000000005"/>
    <n v="3"/>
  </r>
  <r>
    <d v="2023-07-24T00:00:00"/>
    <s v="Books"/>
    <x v="4"/>
    <s v="East"/>
    <s v="Washington DC"/>
    <x v="9"/>
    <n v="21.4"/>
    <n v="0.1"/>
    <n v="192.63"/>
    <n v="4"/>
  </r>
  <r>
    <d v="2023-07-24T00:00:00"/>
    <s v="Clothing"/>
    <x v="16"/>
    <s v="East"/>
    <s v="Washington DC"/>
    <x v="4"/>
    <n v="12.48"/>
    <n v="0.1"/>
    <n v="101.09"/>
    <n v="4"/>
  </r>
  <r>
    <d v="2023-07-25T00:00:00"/>
    <s v="Electronics"/>
    <x v="24"/>
    <s v="West"/>
    <s v="Seattle"/>
    <x v="1"/>
    <n v="80.13"/>
    <n v="0.25"/>
    <n v="420.7"/>
    <n v="5"/>
  </r>
  <r>
    <d v="2023-07-25T00:00:00"/>
    <s v="Sports"/>
    <x v="5"/>
    <s v="West"/>
    <s v="San Francisco"/>
    <x v="3"/>
    <n v="208.21"/>
    <n v="0"/>
    <n v="1665.67"/>
    <n v="4"/>
  </r>
  <r>
    <d v="2023-07-25T00:00:00"/>
    <s v="Electronics"/>
    <x v="14"/>
    <s v="South"/>
    <s v="Houston"/>
    <x v="6"/>
    <n v="438.42"/>
    <n v="0.2"/>
    <n v="1052.2"/>
    <n v="5"/>
  </r>
  <r>
    <d v="2023-07-25T00:00:00"/>
    <s v="Clothing"/>
    <x v="18"/>
    <s v="West"/>
    <s v="Seattle"/>
    <x v="0"/>
    <n v="145.91999999999999"/>
    <n v="0.25"/>
    <n v="547.19000000000005"/>
    <n v="4"/>
  </r>
  <r>
    <d v="2023-07-26T00:00:00"/>
    <s v="Books"/>
    <x v="0"/>
    <s v="South"/>
    <s v="Miami"/>
    <x v="1"/>
    <n v="253.65"/>
    <n v="0"/>
    <n v="1775.56"/>
    <n v="5"/>
  </r>
  <r>
    <d v="2023-07-26T00:00:00"/>
    <s v="Clothing"/>
    <x v="20"/>
    <s v="North"/>
    <s v="Chicago"/>
    <x v="0"/>
    <n v="481.98"/>
    <n v="0.25"/>
    <n v="1807.42"/>
    <n v="5"/>
  </r>
  <r>
    <d v="2023-07-28T00:00:00"/>
    <s v="Books"/>
    <x v="23"/>
    <s v="West"/>
    <s v="San Francisco"/>
    <x v="7"/>
    <n v="484.64"/>
    <n v="0"/>
    <n v="969.28"/>
    <n v="4"/>
  </r>
  <r>
    <d v="2023-07-28T00:00:00"/>
    <s v="Clothing"/>
    <x v="16"/>
    <s v="North"/>
    <s v="Chicago"/>
    <x v="9"/>
    <n v="384.05"/>
    <n v="0.3"/>
    <n v="2688.34"/>
    <n v="4"/>
  </r>
  <r>
    <d v="2023-07-28T00:00:00"/>
    <s v="Home &amp; Garden"/>
    <x v="6"/>
    <s v="West"/>
    <s v="Los Angeles"/>
    <x v="7"/>
    <n v="320.43"/>
    <n v="0.2"/>
    <n v="512.69000000000005"/>
    <n v="3"/>
  </r>
  <r>
    <d v="2023-07-31T00:00:00"/>
    <s v="Clothing"/>
    <x v="21"/>
    <s v="East"/>
    <s v="Washington DC"/>
    <x v="8"/>
    <n v="360.15"/>
    <n v="0.3"/>
    <n v="1512.64"/>
    <n v="5"/>
  </r>
  <r>
    <d v="2023-07-31T00:00:00"/>
    <s v="Books"/>
    <x v="4"/>
    <s v="West"/>
    <s v="Los Angeles"/>
    <x v="9"/>
    <n v="454.85"/>
    <n v="0"/>
    <n v="4548.54"/>
    <n v="5"/>
  </r>
  <r>
    <d v="2023-08-01T00:00:00"/>
    <s v="Clothing"/>
    <x v="16"/>
    <s v="South"/>
    <s v="Atlanta"/>
    <x v="9"/>
    <n v="217.5"/>
    <n v="0.2"/>
    <n v="1740.01"/>
    <n v="3"/>
  </r>
  <r>
    <d v="2023-08-01T00:00:00"/>
    <s v="Books"/>
    <x v="4"/>
    <s v="East"/>
    <s v="Philadelphia"/>
    <x v="7"/>
    <n v="224.85"/>
    <n v="0.2"/>
    <n v="359.76"/>
    <n v="3"/>
  </r>
  <r>
    <d v="2023-08-01T00:00:00"/>
    <s v="Sports"/>
    <x v="8"/>
    <s v="North"/>
    <s v="Chicago"/>
    <x v="7"/>
    <n v="334.64"/>
    <n v="0.1"/>
    <n v="602.34"/>
    <n v="5"/>
  </r>
  <r>
    <d v="2023-08-02T00:00:00"/>
    <s v="Home &amp; Garden"/>
    <x v="17"/>
    <s v="East"/>
    <s v="Baltimore"/>
    <x v="2"/>
    <n v="358.56"/>
    <n v="0.2"/>
    <n v="286.85000000000002"/>
    <n v="3"/>
  </r>
  <r>
    <d v="2023-08-02T00:00:00"/>
    <s v="Sports"/>
    <x v="5"/>
    <s v="South"/>
    <s v="Miami"/>
    <x v="7"/>
    <n v="389.82"/>
    <n v="0.1"/>
    <n v="701.67"/>
    <n v="4"/>
  </r>
  <r>
    <d v="2023-08-03T00:00:00"/>
    <s v="Sports"/>
    <x v="13"/>
    <s v="South"/>
    <s v="Miami"/>
    <x v="0"/>
    <n v="86.45"/>
    <n v="0.2"/>
    <n v="345.8"/>
    <n v="4"/>
  </r>
  <r>
    <d v="2023-08-03T00:00:00"/>
    <s v="Home &amp; Garden"/>
    <x v="6"/>
    <s v="West"/>
    <s v="San Francisco"/>
    <x v="1"/>
    <n v="449.08"/>
    <n v="0"/>
    <n v="3143.59"/>
    <n v="3"/>
  </r>
  <r>
    <d v="2023-08-05T00:00:00"/>
    <s v="Electronics"/>
    <x v="24"/>
    <s v="North"/>
    <s v="Boston"/>
    <x v="5"/>
    <n v="258.73"/>
    <n v="0"/>
    <n v="1034.92"/>
    <n v="4"/>
  </r>
  <r>
    <d v="2023-08-05T00:00:00"/>
    <s v="Clothing"/>
    <x v="20"/>
    <s v="West"/>
    <s v="Seattle"/>
    <x v="5"/>
    <n v="184"/>
    <n v="0"/>
    <n v="736"/>
    <n v="5"/>
  </r>
  <r>
    <d v="2023-08-08T00:00:00"/>
    <s v="Electronics"/>
    <x v="9"/>
    <s v="West"/>
    <s v="Seattle"/>
    <x v="9"/>
    <n v="475.08"/>
    <n v="0.25"/>
    <n v="3563.11"/>
    <n v="4"/>
  </r>
  <r>
    <d v="2023-08-09T00:00:00"/>
    <s v="Electronics"/>
    <x v="9"/>
    <s v="North"/>
    <s v="Boston"/>
    <x v="3"/>
    <n v="243.54"/>
    <n v="0.3"/>
    <n v="1363.84"/>
    <n v="4"/>
  </r>
  <r>
    <d v="2023-08-09T00:00:00"/>
    <s v="Books"/>
    <x v="15"/>
    <s v="North"/>
    <s v="New York"/>
    <x v="4"/>
    <n v="493.57"/>
    <n v="0"/>
    <n v="4442.17"/>
    <n v="4"/>
  </r>
  <r>
    <d v="2023-08-09T00:00:00"/>
    <s v="Electronics"/>
    <x v="9"/>
    <s v="South"/>
    <s v="Atlanta"/>
    <x v="4"/>
    <n v="327.37"/>
    <n v="0"/>
    <n v="2946.31"/>
    <n v="4"/>
  </r>
  <r>
    <d v="2023-08-11T00:00:00"/>
    <s v="Clothing"/>
    <x v="16"/>
    <s v="North"/>
    <s v="Chicago"/>
    <x v="1"/>
    <n v="260.72000000000003"/>
    <n v="0.25"/>
    <n v="1368.79"/>
    <n v="5"/>
  </r>
  <r>
    <d v="2023-08-11T00:00:00"/>
    <s v="Sports"/>
    <x v="10"/>
    <s v="South"/>
    <s v="Miami"/>
    <x v="7"/>
    <n v="198.85"/>
    <n v="0.1"/>
    <n v="357.94"/>
    <n v="5"/>
  </r>
  <r>
    <d v="2023-08-12T00:00:00"/>
    <s v="Electronics"/>
    <x v="1"/>
    <s v="South"/>
    <s v="Atlanta"/>
    <x v="6"/>
    <n v="90.49"/>
    <n v="0.3"/>
    <n v="190.03"/>
    <n v="4"/>
  </r>
  <r>
    <d v="2023-08-12T00:00:00"/>
    <s v="Clothing"/>
    <x v="18"/>
    <s v="South"/>
    <s v="Houston"/>
    <x v="5"/>
    <n v="311.77"/>
    <n v="0.1"/>
    <n v="1122.3599999999999"/>
    <n v="3"/>
  </r>
  <r>
    <d v="2023-08-12T00:00:00"/>
    <s v="Sports"/>
    <x v="8"/>
    <s v="South"/>
    <s v="Houston"/>
    <x v="8"/>
    <n v="351.05"/>
    <n v="0.1"/>
    <n v="1895.69"/>
    <n v="5"/>
  </r>
  <r>
    <d v="2023-08-13T00:00:00"/>
    <s v="Electronics"/>
    <x v="14"/>
    <s v="East"/>
    <s v="Washington DC"/>
    <x v="3"/>
    <n v="329.17"/>
    <n v="0"/>
    <n v="2633.36"/>
    <n v="4"/>
  </r>
  <r>
    <d v="2023-08-14T00:00:00"/>
    <s v="Home &amp; Garden"/>
    <x v="7"/>
    <s v="North"/>
    <s v="New York"/>
    <x v="5"/>
    <n v="290.98"/>
    <n v="0.3"/>
    <n v="814.76"/>
    <n v="5"/>
  </r>
  <r>
    <d v="2023-08-14T00:00:00"/>
    <s v="Electronics"/>
    <x v="9"/>
    <s v="North"/>
    <s v="Boston"/>
    <x v="9"/>
    <n v="43.77"/>
    <n v="0.2"/>
    <n v="350.17"/>
    <n v="5"/>
  </r>
  <r>
    <d v="2023-08-15T00:00:00"/>
    <s v="Sports"/>
    <x v="8"/>
    <s v="East"/>
    <s v="Baltimore"/>
    <x v="2"/>
    <n v="271.83"/>
    <n v="0.3"/>
    <n v="190.28"/>
    <n v="5"/>
  </r>
  <r>
    <d v="2023-08-17T00:00:00"/>
    <s v="Clothing"/>
    <x v="19"/>
    <s v="South"/>
    <s v="Atlanta"/>
    <x v="3"/>
    <n v="173.52"/>
    <n v="0.2"/>
    <n v="1110.51"/>
    <n v="5"/>
  </r>
  <r>
    <d v="2023-08-18T00:00:00"/>
    <s v="Sports"/>
    <x v="13"/>
    <s v="West"/>
    <s v="Los Angeles"/>
    <x v="0"/>
    <n v="256.29000000000002"/>
    <n v="0.25"/>
    <n v="961.1"/>
    <n v="3"/>
  </r>
  <r>
    <d v="2023-08-19T00:00:00"/>
    <s v="Electronics"/>
    <x v="1"/>
    <s v="West"/>
    <s v="San Francisco"/>
    <x v="0"/>
    <n v="101.65"/>
    <n v="0.25"/>
    <n v="381.19"/>
    <n v="4"/>
  </r>
  <r>
    <d v="2023-08-20T00:00:00"/>
    <s v="Books"/>
    <x v="23"/>
    <s v="East"/>
    <s v="Washington DC"/>
    <x v="6"/>
    <n v="200.71"/>
    <n v="0.25"/>
    <n v="451.59"/>
    <n v="5"/>
  </r>
  <r>
    <d v="2023-08-22T00:00:00"/>
    <s v="Home &amp; Garden"/>
    <x v="22"/>
    <s v="North"/>
    <s v="Boston"/>
    <x v="1"/>
    <n v="44.88"/>
    <n v="0.3"/>
    <n v="219.92"/>
    <n v="4"/>
  </r>
  <r>
    <d v="2023-08-25T00:00:00"/>
    <s v="Electronics"/>
    <x v="9"/>
    <s v="North"/>
    <s v="New York"/>
    <x v="0"/>
    <n v="124.28"/>
    <n v="0.3"/>
    <n v="434.99"/>
    <n v="3"/>
  </r>
  <r>
    <d v="2023-08-25T00:00:00"/>
    <s v="Electronics"/>
    <x v="24"/>
    <s v="East"/>
    <s v="Baltimore"/>
    <x v="5"/>
    <n v="358.97"/>
    <n v="0"/>
    <n v="1435.87"/>
    <n v="5"/>
  </r>
  <r>
    <d v="2023-08-27T00:00:00"/>
    <s v="Books"/>
    <x v="0"/>
    <s v="East"/>
    <s v="Baltimore"/>
    <x v="8"/>
    <n v="388.44"/>
    <n v="0.2"/>
    <n v="1864.49"/>
    <n v="4"/>
  </r>
  <r>
    <d v="2023-08-28T00:00:00"/>
    <s v="Sports"/>
    <x v="13"/>
    <s v="South"/>
    <s v="Atlanta"/>
    <x v="5"/>
    <n v="447.35"/>
    <n v="0.2"/>
    <n v="1431.53"/>
    <n v="4"/>
  </r>
  <r>
    <d v="2023-08-29T00:00:00"/>
    <s v="Sports"/>
    <x v="10"/>
    <s v="North"/>
    <s v="New York"/>
    <x v="3"/>
    <n v="20.87"/>
    <n v="0.1"/>
    <n v="150.27000000000001"/>
    <n v="4"/>
  </r>
  <r>
    <d v="2023-08-29T00:00:00"/>
    <s v="Books"/>
    <x v="23"/>
    <s v="North"/>
    <s v="Chicago"/>
    <x v="1"/>
    <n v="215.69"/>
    <n v="0.1"/>
    <n v="1358.86"/>
    <n v="3"/>
  </r>
  <r>
    <d v="2023-08-30T00:00:00"/>
    <s v="Electronics"/>
    <x v="24"/>
    <s v="East"/>
    <s v="Baltimore"/>
    <x v="5"/>
    <n v="181.61"/>
    <n v="0.25"/>
    <n v="544.82000000000005"/>
    <n v="4"/>
  </r>
  <r>
    <d v="2023-09-01T00:00:00"/>
    <s v="Electronics"/>
    <x v="11"/>
    <s v="South"/>
    <s v="Houston"/>
    <x v="3"/>
    <n v="142.71"/>
    <n v="0.25"/>
    <n v="856.25"/>
    <n v="4"/>
  </r>
  <r>
    <d v="2023-09-02T00:00:00"/>
    <s v="Clothing"/>
    <x v="16"/>
    <s v="South"/>
    <s v="Miami"/>
    <x v="6"/>
    <n v="282.16000000000003"/>
    <n v="0.3"/>
    <n v="592.54"/>
    <n v="5"/>
  </r>
  <r>
    <d v="2023-09-03T00:00:00"/>
    <s v="Electronics"/>
    <x v="24"/>
    <s v="North"/>
    <s v="Chicago"/>
    <x v="2"/>
    <n v="420.78"/>
    <n v="0.1"/>
    <n v="378.7"/>
    <n v="3"/>
  </r>
  <r>
    <d v="2023-09-03T00:00:00"/>
    <s v="Electronics"/>
    <x v="1"/>
    <s v="South"/>
    <s v="Houston"/>
    <x v="6"/>
    <n v="273.26"/>
    <n v="0.2"/>
    <n v="655.82"/>
    <n v="5"/>
  </r>
  <r>
    <d v="2023-09-04T00:00:00"/>
    <s v="Books"/>
    <x v="3"/>
    <s v="North"/>
    <s v="New York"/>
    <x v="1"/>
    <n v="167.82"/>
    <n v="0.1"/>
    <n v="1057.26"/>
    <n v="5"/>
  </r>
  <r>
    <d v="2023-09-05T00:00:00"/>
    <s v="Clothing"/>
    <x v="16"/>
    <s v="East"/>
    <s v="Baltimore"/>
    <x v="5"/>
    <n v="460.19"/>
    <n v="0.3"/>
    <n v="1288.53"/>
    <n v="5"/>
  </r>
  <r>
    <d v="2023-09-06T00:00:00"/>
    <s v="Books"/>
    <x v="23"/>
    <s v="West"/>
    <s v="Seattle"/>
    <x v="0"/>
    <n v="451.2"/>
    <n v="0.2"/>
    <n v="1804.82"/>
    <n v="3"/>
  </r>
  <r>
    <m/>
    <m/>
    <x v="25"/>
    <m/>
    <m/>
    <x v="1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n v="5"/>
    <n v="377.29"/>
    <x v="0"/>
    <n v="1886.47"/>
    <n v="5"/>
    <n v="565.95500000000015"/>
  </r>
  <r>
    <x v="0"/>
    <x v="1"/>
    <x v="1"/>
    <x v="1"/>
    <x v="1"/>
    <n v="7"/>
    <n v="399.2"/>
    <x v="0"/>
    <n v="2794.41"/>
    <n v="5"/>
    <n v="2794.41"/>
  </r>
  <r>
    <x v="0"/>
    <x v="2"/>
    <x v="2"/>
    <x v="2"/>
    <x v="2"/>
    <n v="1"/>
    <n v="309.2"/>
    <x v="1"/>
    <n v="216.44"/>
    <n v="5"/>
    <n v="123.68"/>
  </r>
  <r>
    <x v="1"/>
    <x v="0"/>
    <x v="3"/>
    <x v="1"/>
    <x v="1"/>
    <n v="8"/>
    <n v="421.82"/>
    <x v="2"/>
    <n v="2699.62"/>
    <n v="3"/>
    <n v="2024.7079999999999"/>
  </r>
  <r>
    <x v="1"/>
    <x v="0"/>
    <x v="4"/>
    <x v="2"/>
    <x v="3"/>
    <n v="8"/>
    <n v="415.69"/>
    <x v="1"/>
    <n v="2327.87"/>
    <n v="5"/>
    <n v="1330.2139999999999"/>
  </r>
  <r>
    <x v="1"/>
    <x v="2"/>
    <x v="2"/>
    <x v="1"/>
    <x v="4"/>
    <n v="9"/>
    <n v="155.16999999999999"/>
    <x v="1"/>
    <n v="977.6"/>
    <n v="3"/>
    <n v="558.64100000000008"/>
  </r>
  <r>
    <x v="2"/>
    <x v="2"/>
    <x v="5"/>
    <x v="0"/>
    <x v="5"/>
    <n v="9"/>
    <n v="299.08"/>
    <x v="1"/>
    <n v="1884.19"/>
    <n v="5"/>
    <n v="1076.674"/>
  </r>
  <r>
    <x v="3"/>
    <x v="3"/>
    <x v="6"/>
    <x v="2"/>
    <x v="6"/>
    <n v="4"/>
    <n v="363.9"/>
    <x v="3"/>
    <n v="1310.05"/>
    <n v="4"/>
    <n v="1164.49"/>
  </r>
  <r>
    <x v="4"/>
    <x v="1"/>
    <x v="1"/>
    <x v="0"/>
    <x v="0"/>
    <n v="9"/>
    <n v="181.11"/>
    <x v="2"/>
    <n v="1304.01"/>
    <n v="4"/>
    <n v="978.01199999999994"/>
  </r>
  <r>
    <x v="5"/>
    <x v="3"/>
    <x v="7"/>
    <x v="0"/>
    <x v="0"/>
    <n v="9"/>
    <n v="159.34"/>
    <x v="2"/>
    <n v="1147.27"/>
    <n v="3"/>
    <n v="860.45799999999997"/>
  </r>
  <r>
    <x v="6"/>
    <x v="2"/>
    <x v="8"/>
    <x v="3"/>
    <x v="7"/>
    <n v="5"/>
    <n v="442.91"/>
    <x v="4"/>
    <n v="1660.92"/>
    <n v="3"/>
    <n v="1107.2825"/>
  </r>
  <r>
    <x v="6"/>
    <x v="1"/>
    <x v="9"/>
    <x v="0"/>
    <x v="0"/>
    <n v="5"/>
    <n v="22.92"/>
    <x v="0"/>
    <n v="114.6"/>
    <n v="5"/>
    <n v="114.6"/>
  </r>
  <r>
    <x v="7"/>
    <x v="2"/>
    <x v="10"/>
    <x v="1"/>
    <x v="4"/>
    <n v="5"/>
    <n v="133.97"/>
    <x v="2"/>
    <n v="535.86"/>
    <n v="4"/>
    <n v="401.89"/>
  </r>
  <r>
    <x v="8"/>
    <x v="1"/>
    <x v="11"/>
    <x v="1"/>
    <x v="1"/>
    <n v="4"/>
    <n v="326.5"/>
    <x v="3"/>
    <n v="1175.4000000000001"/>
    <n v="4"/>
    <n v="1044.8000000000002"/>
  </r>
  <r>
    <x v="9"/>
    <x v="3"/>
    <x v="6"/>
    <x v="3"/>
    <x v="8"/>
    <n v="7"/>
    <n v="333.39"/>
    <x v="3"/>
    <n v="2100.37"/>
    <n v="3"/>
    <n v="1866.9969999999998"/>
  </r>
  <r>
    <x v="10"/>
    <x v="3"/>
    <x v="12"/>
    <x v="1"/>
    <x v="4"/>
    <n v="3"/>
    <n v="195.6"/>
    <x v="1"/>
    <n v="410.76"/>
    <n v="5"/>
    <n v="234.72"/>
  </r>
  <r>
    <x v="11"/>
    <x v="0"/>
    <x v="3"/>
    <x v="0"/>
    <x v="9"/>
    <n v="1"/>
    <n v="280.43"/>
    <x v="1"/>
    <n v="196.3"/>
    <n v="5"/>
    <n v="112.17100000000001"/>
  </r>
  <r>
    <x v="11"/>
    <x v="2"/>
    <x v="13"/>
    <x v="3"/>
    <x v="8"/>
    <n v="1"/>
    <n v="237.69"/>
    <x v="1"/>
    <n v="166.38"/>
    <n v="4"/>
    <n v="95.072999999999993"/>
  </r>
  <r>
    <x v="11"/>
    <x v="3"/>
    <x v="12"/>
    <x v="1"/>
    <x v="4"/>
    <n v="5"/>
    <n v="56.14"/>
    <x v="4"/>
    <n v="210.51"/>
    <n v="5"/>
    <n v="140.33499999999998"/>
  </r>
  <r>
    <x v="11"/>
    <x v="1"/>
    <x v="14"/>
    <x v="0"/>
    <x v="0"/>
    <n v="1"/>
    <n v="275.83999999999997"/>
    <x v="2"/>
    <n v="220.68"/>
    <n v="4"/>
    <n v="165.512"/>
  </r>
  <r>
    <x v="12"/>
    <x v="0"/>
    <x v="15"/>
    <x v="2"/>
    <x v="3"/>
    <n v="8"/>
    <n v="305.94"/>
    <x v="1"/>
    <n v="1713.26"/>
    <n v="5"/>
    <n v="979.00400000000002"/>
  </r>
  <r>
    <x v="13"/>
    <x v="4"/>
    <x v="16"/>
    <x v="0"/>
    <x v="0"/>
    <n v="2"/>
    <n v="98.8"/>
    <x v="2"/>
    <n v="158.09"/>
    <n v="3"/>
    <n v="118.57"/>
  </r>
  <r>
    <x v="13"/>
    <x v="1"/>
    <x v="1"/>
    <x v="3"/>
    <x v="7"/>
    <n v="5"/>
    <n v="316.70999999999998"/>
    <x v="0"/>
    <n v="1583.55"/>
    <n v="3"/>
    <n v="1583.55"/>
  </r>
  <r>
    <x v="14"/>
    <x v="2"/>
    <x v="13"/>
    <x v="0"/>
    <x v="5"/>
    <n v="3"/>
    <n v="413.04"/>
    <x v="3"/>
    <n v="1115.22"/>
    <n v="4"/>
    <n v="991.30799999999999"/>
  </r>
  <r>
    <x v="14"/>
    <x v="3"/>
    <x v="17"/>
    <x v="0"/>
    <x v="9"/>
    <n v="9"/>
    <n v="371.33"/>
    <x v="4"/>
    <n v="2506.4699999999998"/>
    <n v="4"/>
    <n v="1670.9775"/>
  </r>
  <r>
    <x v="15"/>
    <x v="4"/>
    <x v="18"/>
    <x v="1"/>
    <x v="10"/>
    <n v="5"/>
    <n v="97.62"/>
    <x v="2"/>
    <n v="390.49"/>
    <n v="3"/>
    <n v="292.87"/>
  </r>
  <r>
    <x v="16"/>
    <x v="4"/>
    <x v="19"/>
    <x v="1"/>
    <x v="10"/>
    <n v="9"/>
    <n v="184.44"/>
    <x v="3"/>
    <n v="1493.93"/>
    <n v="3"/>
    <n v="1327.934"/>
  </r>
  <r>
    <x v="17"/>
    <x v="4"/>
    <x v="18"/>
    <x v="1"/>
    <x v="10"/>
    <n v="1"/>
    <n v="94.91"/>
    <x v="0"/>
    <n v="94.91"/>
    <n v="4"/>
    <n v="94.91"/>
  </r>
  <r>
    <x v="18"/>
    <x v="3"/>
    <x v="6"/>
    <x v="2"/>
    <x v="3"/>
    <n v="8"/>
    <n v="457.49"/>
    <x v="3"/>
    <n v="3293.91"/>
    <n v="3"/>
    <n v="2927.9179999999997"/>
  </r>
  <r>
    <x v="18"/>
    <x v="1"/>
    <x v="1"/>
    <x v="1"/>
    <x v="10"/>
    <n v="7"/>
    <n v="400.31"/>
    <x v="2"/>
    <n v="2241.71"/>
    <n v="5"/>
    <n v="1681.2759999999998"/>
  </r>
  <r>
    <x v="18"/>
    <x v="2"/>
    <x v="8"/>
    <x v="0"/>
    <x v="0"/>
    <n v="3"/>
    <n v="64.489999999999995"/>
    <x v="2"/>
    <n v="154.77000000000001"/>
    <n v="5"/>
    <n v="116.07600000000002"/>
  </r>
  <r>
    <x v="19"/>
    <x v="0"/>
    <x v="15"/>
    <x v="3"/>
    <x v="8"/>
    <n v="8"/>
    <n v="77.39"/>
    <x v="4"/>
    <n v="464.31"/>
    <n v="3"/>
    <n v="309.52999999999997"/>
  </r>
  <r>
    <x v="19"/>
    <x v="0"/>
    <x v="15"/>
    <x v="0"/>
    <x v="5"/>
    <n v="3"/>
    <n v="431.37"/>
    <x v="1"/>
    <n v="905.88"/>
    <n v="3"/>
    <n v="517.64699999999993"/>
  </r>
  <r>
    <x v="20"/>
    <x v="0"/>
    <x v="4"/>
    <x v="1"/>
    <x v="4"/>
    <n v="9"/>
    <n v="152.69999999999999"/>
    <x v="2"/>
    <n v="1099.46"/>
    <n v="4"/>
    <n v="824.6"/>
  </r>
  <r>
    <x v="21"/>
    <x v="4"/>
    <x v="16"/>
    <x v="3"/>
    <x v="11"/>
    <n v="6"/>
    <n v="10.38"/>
    <x v="4"/>
    <n v="46.72"/>
    <n v="5"/>
    <n v="31.15"/>
  </r>
  <r>
    <x v="22"/>
    <x v="0"/>
    <x v="15"/>
    <x v="1"/>
    <x v="4"/>
    <n v="1"/>
    <n v="50.62"/>
    <x v="0"/>
    <n v="50.62"/>
    <n v="5"/>
    <n v="50.62"/>
  </r>
  <r>
    <x v="23"/>
    <x v="4"/>
    <x v="18"/>
    <x v="0"/>
    <x v="9"/>
    <n v="5"/>
    <n v="265.89999999999998"/>
    <x v="1"/>
    <n v="930.65"/>
    <n v="4"/>
    <n v="531.79999999999995"/>
  </r>
  <r>
    <x v="24"/>
    <x v="2"/>
    <x v="2"/>
    <x v="2"/>
    <x v="2"/>
    <n v="2"/>
    <n v="318.18"/>
    <x v="1"/>
    <n v="445.45"/>
    <n v="4"/>
    <n v="254.542"/>
  </r>
  <r>
    <x v="24"/>
    <x v="3"/>
    <x v="12"/>
    <x v="3"/>
    <x v="11"/>
    <n v="9"/>
    <n v="403.71"/>
    <x v="0"/>
    <n v="3633.35"/>
    <n v="4"/>
    <n v="3633.35"/>
  </r>
  <r>
    <x v="25"/>
    <x v="4"/>
    <x v="20"/>
    <x v="0"/>
    <x v="9"/>
    <n v="4"/>
    <n v="122.03"/>
    <x v="0"/>
    <n v="488.14"/>
    <n v="4"/>
    <n v="488.14"/>
  </r>
  <r>
    <x v="25"/>
    <x v="0"/>
    <x v="0"/>
    <x v="3"/>
    <x v="7"/>
    <n v="6"/>
    <n v="251.38"/>
    <x v="1"/>
    <n v="1055.81"/>
    <n v="5"/>
    <n v="603.32600000000002"/>
  </r>
  <r>
    <x v="26"/>
    <x v="2"/>
    <x v="10"/>
    <x v="0"/>
    <x v="9"/>
    <n v="7"/>
    <n v="132.91999999999999"/>
    <x v="3"/>
    <n v="837.41"/>
    <n v="5"/>
    <n v="744.36599999999999"/>
  </r>
  <r>
    <x v="27"/>
    <x v="1"/>
    <x v="9"/>
    <x v="3"/>
    <x v="8"/>
    <n v="1"/>
    <n v="89.2"/>
    <x v="4"/>
    <n v="66.900000000000006"/>
    <n v="5"/>
    <n v="44.600000000000009"/>
  </r>
  <r>
    <x v="28"/>
    <x v="2"/>
    <x v="8"/>
    <x v="1"/>
    <x v="1"/>
    <n v="7"/>
    <n v="218.78"/>
    <x v="3"/>
    <n v="1378.34"/>
    <n v="3"/>
    <n v="1225.194"/>
  </r>
  <r>
    <x v="29"/>
    <x v="2"/>
    <x v="2"/>
    <x v="0"/>
    <x v="0"/>
    <n v="3"/>
    <n v="350.03"/>
    <x v="4"/>
    <n v="787.58"/>
    <n v="4"/>
    <n v="525.05750000000012"/>
  </r>
  <r>
    <x v="29"/>
    <x v="2"/>
    <x v="13"/>
    <x v="1"/>
    <x v="1"/>
    <n v="5"/>
    <n v="234.06"/>
    <x v="1"/>
    <n v="819.21"/>
    <n v="4"/>
    <n v="468.12000000000006"/>
  </r>
  <r>
    <x v="30"/>
    <x v="2"/>
    <x v="8"/>
    <x v="0"/>
    <x v="5"/>
    <n v="4"/>
    <n v="235.08"/>
    <x v="0"/>
    <n v="940.32"/>
    <n v="4"/>
    <n v="940.32"/>
  </r>
  <r>
    <x v="31"/>
    <x v="2"/>
    <x v="2"/>
    <x v="0"/>
    <x v="9"/>
    <n v="9"/>
    <n v="61.69"/>
    <x v="4"/>
    <n v="416.42"/>
    <n v="4"/>
    <n v="277.61750000000001"/>
  </r>
  <r>
    <x v="32"/>
    <x v="2"/>
    <x v="8"/>
    <x v="1"/>
    <x v="4"/>
    <n v="5"/>
    <n v="31.27"/>
    <x v="1"/>
    <n v="109.43"/>
    <n v="4"/>
    <n v="62.525000000000013"/>
  </r>
  <r>
    <x v="33"/>
    <x v="1"/>
    <x v="1"/>
    <x v="3"/>
    <x v="8"/>
    <n v="8"/>
    <n v="363.58"/>
    <x v="4"/>
    <n v="2181.4899999999998"/>
    <n v="5"/>
    <n v="1454.33"/>
  </r>
  <r>
    <x v="34"/>
    <x v="4"/>
    <x v="20"/>
    <x v="3"/>
    <x v="11"/>
    <n v="1"/>
    <n v="147.08000000000001"/>
    <x v="1"/>
    <n v="102.96"/>
    <n v="4"/>
    <n v="58.835999999999991"/>
  </r>
  <r>
    <x v="35"/>
    <x v="4"/>
    <x v="21"/>
    <x v="3"/>
    <x v="8"/>
    <n v="10"/>
    <n v="275.89999999999998"/>
    <x v="1"/>
    <n v="1931.27"/>
    <n v="5"/>
    <n v="1103.5700000000002"/>
  </r>
  <r>
    <x v="36"/>
    <x v="4"/>
    <x v="19"/>
    <x v="2"/>
    <x v="3"/>
    <n v="4"/>
    <n v="373.32"/>
    <x v="2"/>
    <n v="1194.6099999999999"/>
    <n v="4"/>
    <n v="895.95399999999995"/>
  </r>
  <r>
    <x v="36"/>
    <x v="4"/>
    <x v="21"/>
    <x v="0"/>
    <x v="5"/>
    <n v="8"/>
    <n v="406.84"/>
    <x v="0"/>
    <n v="3254.71"/>
    <n v="5"/>
    <n v="3254.71"/>
  </r>
  <r>
    <x v="37"/>
    <x v="4"/>
    <x v="20"/>
    <x v="1"/>
    <x v="4"/>
    <n v="10"/>
    <n v="260.93"/>
    <x v="2"/>
    <n v="2087.4"/>
    <n v="4"/>
    <n v="1565.54"/>
  </r>
  <r>
    <x v="37"/>
    <x v="4"/>
    <x v="18"/>
    <x v="3"/>
    <x v="7"/>
    <n v="6"/>
    <n v="274.49"/>
    <x v="0"/>
    <n v="1646.96"/>
    <n v="3"/>
    <n v="1646.96"/>
  </r>
  <r>
    <x v="38"/>
    <x v="4"/>
    <x v="19"/>
    <x v="0"/>
    <x v="5"/>
    <n v="7"/>
    <n v="270.32"/>
    <x v="3"/>
    <n v="1703.02"/>
    <n v="5"/>
    <n v="1513.796"/>
  </r>
  <r>
    <x v="38"/>
    <x v="2"/>
    <x v="8"/>
    <x v="1"/>
    <x v="4"/>
    <n v="4"/>
    <n v="169.72"/>
    <x v="4"/>
    <n v="509.16"/>
    <n v="4"/>
    <n v="339.44000000000005"/>
  </r>
  <r>
    <x v="38"/>
    <x v="3"/>
    <x v="22"/>
    <x v="0"/>
    <x v="5"/>
    <n v="5"/>
    <n v="463.89"/>
    <x v="3"/>
    <n v="2087.4899999999998"/>
    <n v="3"/>
    <n v="1855.5449999999998"/>
  </r>
  <r>
    <x v="38"/>
    <x v="2"/>
    <x v="5"/>
    <x v="0"/>
    <x v="9"/>
    <n v="5"/>
    <n v="285.02999999999997"/>
    <x v="2"/>
    <n v="1140.0999999999999"/>
    <n v="3"/>
    <n v="855.06999999999994"/>
  </r>
  <r>
    <x v="39"/>
    <x v="4"/>
    <x v="18"/>
    <x v="0"/>
    <x v="5"/>
    <n v="2"/>
    <n v="29.09"/>
    <x v="3"/>
    <n v="52.37"/>
    <n v="4"/>
    <n v="46.552"/>
  </r>
  <r>
    <x v="39"/>
    <x v="0"/>
    <x v="4"/>
    <x v="0"/>
    <x v="0"/>
    <n v="8"/>
    <n v="364.22"/>
    <x v="0"/>
    <n v="2913.75"/>
    <n v="4"/>
    <n v="2913.75"/>
  </r>
  <r>
    <x v="40"/>
    <x v="2"/>
    <x v="8"/>
    <x v="2"/>
    <x v="3"/>
    <n v="6"/>
    <n v="53.46"/>
    <x v="0"/>
    <n v="320.79000000000002"/>
    <n v="5"/>
    <n v="320.79000000000002"/>
  </r>
  <r>
    <x v="40"/>
    <x v="0"/>
    <x v="23"/>
    <x v="0"/>
    <x v="9"/>
    <n v="10"/>
    <n v="22.46"/>
    <x v="1"/>
    <n v="157.19"/>
    <n v="4"/>
    <n v="89.809999999999988"/>
  </r>
  <r>
    <x v="41"/>
    <x v="2"/>
    <x v="10"/>
    <x v="1"/>
    <x v="1"/>
    <n v="4"/>
    <n v="302.97000000000003"/>
    <x v="4"/>
    <n v="908.91"/>
    <n v="3"/>
    <n v="605.93999999999994"/>
  </r>
  <r>
    <x v="42"/>
    <x v="4"/>
    <x v="21"/>
    <x v="3"/>
    <x v="8"/>
    <n v="10"/>
    <n v="297.25"/>
    <x v="3"/>
    <n v="2675.27"/>
    <n v="3"/>
    <n v="2378.02"/>
  </r>
  <r>
    <x v="43"/>
    <x v="2"/>
    <x v="10"/>
    <x v="0"/>
    <x v="5"/>
    <n v="2"/>
    <n v="70.91"/>
    <x v="2"/>
    <n v="113.45"/>
    <n v="3"/>
    <n v="85.085999999999999"/>
  </r>
  <r>
    <x v="43"/>
    <x v="2"/>
    <x v="5"/>
    <x v="2"/>
    <x v="2"/>
    <n v="2"/>
    <n v="383.6"/>
    <x v="2"/>
    <n v="613.77"/>
    <n v="4"/>
    <n v="460.32999999999993"/>
  </r>
  <r>
    <x v="44"/>
    <x v="2"/>
    <x v="2"/>
    <x v="0"/>
    <x v="9"/>
    <n v="1"/>
    <n v="136.54"/>
    <x v="1"/>
    <n v="95.58"/>
    <n v="4"/>
    <n v="54.618000000000002"/>
  </r>
  <r>
    <x v="44"/>
    <x v="1"/>
    <x v="9"/>
    <x v="0"/>
    <x v="9"/>
    <n v="10"/>
    <n v="492.97"/>
    <x v="4"/>
    <n v="3697.27"/>
    <n v="4"/>
    <n v="2464.8449999999998"/>
  </r>
  <r>
    <x v="45"/>
    <x v="3"/>
    <x v="7"/>
    <x v="2"/>
    <x v="3"/>
    <n v="10"/>
    <n v="202.3"/>
    <x v="2"/>
    <n v="1618.38"/>
    <n v="5"/>
    <n v="1213.7800000000002"/>
  </r>
  <r>
    <x v="45"/>
    <x v="2"/>
    <x v="5"/>
    <x v="1"/>
    <x v="10"/>
    <n v="8"/>
    <n v="126.44"/>
    <x v="1"/>
    <n v="708.08"/>
    <n v="4"/>
    <n v="404.62400000000008"/>
  </r>
  <r>
    <x v="45"/>
    <x v="0"/>
    <x v="15"/>
    <x v="2"/>
    <x v="2"/>
    <n v="5"/>
    <n v="68.88"/>
    <x v="1"/>
    <n v="241.08"/>
    <n v="5"/>
    <n v="137.76000000000002"/>
  </r>
  <r>
    <x v="45"/>
    <x v="4"/>
    <x v="16"/>
    <x v="1"/>
    <x v="4"/>
    <n v="10"/>
    <n v="200.25"/>
    <x v="4"/>
    <n v="1501.89"/>
    <n v="4"/>
    <n v="1001.2650000000001"/>
  </r>
  <r>
    <x v="46"/>
    <x v="4"/>
    <x v="16"/>
    <x v="2"/>
    <x v="3"/>
    <n v="6"/>
    <n v="111.89"/>
    <x v="4"/>
    <n v="503.51"/>
    <n v="5"/>
    <n v="335.67499999999995"/>
  </r>
  <r>
    <x v="47"/>
    <x v="3"/>
    <x v="12"/>
    <x v="0"/>
    <x v="9"/>
    <n v="5"/>
    <n v="487.45"/>
    <x v="2"/>
    <n v="1949.81"/>
    <n v="5"/>
    <n v="1462.36"/>
  </r>
  <r>
    <x v="48"/>
    <x v="4"/>
    <x v="18"/>
    <x v="1"/>
    <x v="10"/>
    <n v="8"/>
    <n v="98.23"/>
    <x v="4"/>
    <n v="589.4"/>
    <n v="3"/>
    <n v="392.93999999999994"/>
  </r>
  <r>
    <x v="49"/>
    <x v="2"/>
    <x v="2"/>
    <x v="2"/>
    <x v="2"/>
    <n v="7"/>
    <n v="426.52"/>
    <x v="4"/>
    <n v="2239.2199999999998"/>
    <n v="4"/>
    <n v="1492.81"/>
  </r>
  <r>
    <x v="50"/>
    <x v="4"/>
    <x v="21"/>
    <x v="1"/>
    <x v="4"/>
    <n v="4"/>
    <n v="472"/>
    <x v="2"/>
    <n v="1510.39"/>
    <n v="4"/>
    <n v="1132.79"/>
  </r>
  <r>
    <x v="51"/>
    <x v="2"/>
    <x v="13"/>
    <x v="3"/>
    <x v="8"/>
    <n v="2"/>
    <n v="404.47"/>
    <x v="4"/>
    <n v="606.71"/>
    <n v="4"/>
    <n v="404.47500000000002"/>
  </r>
  <r>
    <x v="51"/>
    <x v="4"/>
    <x v="20"/>
    <x v="1"/>
    <x v="1"/>
    <n v="6"/>
    <n v="441.43"/>
    <x v="3"/>
    <n v="2383.7199999999998"/>
    <n v="5"/>
    <n v="2118.8619999999996"/>
  </r>
  <r>
    <x v="52"/>
    <x v="1"/>
    <x v="11"/>
    <x v="2"/>
    <x v="6"/>
    <n v="6"/>
    <n v="130.52000000000001"/>
    <x v="4"/>
    <n v="587.34"/>
    <n v="5"/>
    <n v="391.56"/>
  </r>
  <r>
    <x v="53"/>
    <x v="1"/>
    <x v="9"/>
    <x v="3"/>
    <x v="7"/>
    <n v="5"/>
    <n v="297.51"/>
    <x v="0"/>
    <n v="1487.54"/>
    <n v="4"/>
    <n v="1487.54"/>
  </r>
  <r>
    <x v="54"/>
    <x v="3"/>
    <x v="12"/>
    <x v="1"/>
    <x v="10"/>
    <n v="7"/>
    <n v="78.64"/>
    <x v="2"/>
    <n v="440.39"/>
    <n v="4"/>
    <n v="330.29399999999998"/>
  </r>
  <r>
    <x v="54"/>
    <x v="4"/>
    <x v="21"/>
    <x v="3"/>
    <x v="11"/>
    <n v="10"/>
    <n v="431.6"/>
    <x v="0"/>
    <n v="4315.9799999999996"/>
    <n v="4"/>
    <n v="4315.9799999999996"/>
  </r>
  <r>
    <x v="55"/>
    <x v="0"/>
    <x v="4"/>
    <x v="2"/>
    <x v="2"/>
    <n v="9"/>
    <n v="266.32"/>
    <x v="0"/>
    <n v="2396.86"/>
    <n v="3"/>
    <n v="2396.86"/>
  </r>
  <r>
    <x v="56"/>
    <x v="1"/>
    <x v="14"/>
    <x v="0"/>
    <x v="0"/>
    <n v="7"/>
    <n v="95.44"/>
    <x v="0"/>
    <n v="668.08"/>
    <n v="4"/>
    <n v="668.08"/>
  </r>
  <r>
    <x v="57"/>
    <x v="1"/>
    <x v="24"/>
    <x v="1"/>
    <x v="4"/>
    <n v="10"/>
    <n v="255.51"/>
    <x v="1"/>
    <n v="1788.57"/>
    <n v="5"/>
    <n v="1022.04"/>
  </r>
  <r>
    <x v="58"/>
    <x v="0"/>
    <x v="3"/>
    <x v="0"/>
    <x v="5"/>
    <n v="7"/>
    <n v="278.97000000000003"/>
    <x v="3"/>
    <n v="1757.52"/>
    <n v="5"/>
    <n v="1562.241"/>
  </r>
  <r>
    <x v="58"/>
    <x v="1"/>
    <x v="1"/>
    <x v="3"/>
    <x v="7"/>
    <n v="6"/>
    <n v="174.94"/>
    <x v="3"/>
    <n v="944.65"/>
    <n v="5"/>
    <n v="839.68599999999992"/>
  </r>
  <r>
    <x v="59"/>
    <x v="2"/>
    <x v="2"/>
    <x v="0"/>
    <x v="0"/>
    <n v="9"/>
    <n v="382.51"/>
    <x v="2"/>
    <n v="2754.08"/>
    <n v="5"/>
    <n v="2065.5619999999999"/>
  </r>
  <r>
    <x v="60"/>
    <x v="1"/>
    <x v="14"/>
    <x v="0"/>
    <x v="5"/>
    <n v="5"/>
    <n v="415.13"/>
    <x v="3"/>
    <n v="1868.09"/>
    <n v="5"/>
    <n v="1660.5249999999999"/>
  </r>
  <r>
    <x v="61"/>
    <x v="3"/>
    <x v="12"/>
    <x v="3"/>
    <x v="11"/>
    <n v="3"/>
    <n v="295.85000000000002"/>
    <x v="0"/>
    <n v="887.55"/>
    <n v="4"/>
    <n v="887.55"/>
  </r>
  <r>
    <x v="61"/>
    <x v="0"/>
    <x v="23"/>
    <x v="0"/>
    <x v="0"/>
    <n v="9"/>
    <n v="195.09"/>
    <x v="0"/>
    <n v="1755.78"/>
    <n v="5"/>
    <n v="1755.78"/>
  </r>
  <r>
    <x v="61"/>
    <x v="2"/>
    <x v="8"/>
    <x v="2"/>
    <x v="2"/>
    <n v="1"/>
    <n v="18.87"/>
    <x v="4"/>
    <n v="14.16"/>
    <n v="4"/>
    <n v="9.442499999999999"/>
  </r>
  <r>
    <x v="62"/>
    <x v="4"/>
    <x v="16"/>
    <x v="2"/>
    <x v="6"/>
    <n v="1"/>
    <n v="450.79"/>
    <x v="3"/>
    <n v="405.71"/>
    <n v="5"/>
    <n v="360.63099999999997"/>
  </r>
  <r>
    <x v="63"/>
    <x v="0"/>
    <x v="15"/>
    <x v="0"/>
    <x v="0"/>
    <n v="10"/>
    <n v="413.07"/>
    <x v="2"/>
    <n v="3304.59"/>
    <n v="4"/>
    <n v="2478.4500000000003"/>
  </r>
  <r>
    <x v="63"/>
    <x v="0"/>
    <x v="4"/>
    <x v="1"/>
    <x v="1"/>
    <n v="4"/>
    <n v="269.52999999999997"/>
    <x v="3"/>
    <n v="970.3"/>
    <n v="3"/>
    <n v="862.48799999999994"/>
  </r>
  <r>
    <x v="64"/>
    <x v="0"/>
    <x v="15"/>
    <x v="0"/>
    <x v="0"/>
    <n v="4"/>
    <n v="414.96"/>
    <x v="1"/>
    <n v="1161.9000000000001"/>
    <n v="4"/>
    <n v="663.94800000000009"/>
  </r>
  <r>
    <x v="64"/>
    <x v="1"/>
    <x v="11"/>
    <x v="1"/>
    <x v="4"/>
    <n v="1"/>
    <n v="477.88"/>
    <x v="1"/>
    <n v="334.52"/>
    <n v="5"/>
    <n v="191.15599999999998"/>
  </r>
  <r>
    <x v="65"/>
    <x v="1"/>
    <x v="11"/>
    <x v="0"/>
    <x v="9"/>
    <n v="8"/>
    <n v="12.71"/>
    <x v="2"/>
    <n v="81.319999999999993"/>
    <n v="4"/>
    <n v="60.983999999999995"/>
  </r>
  <r>
    <x v="66"/>
    <x v="0"/>
    <x v="23"/>
    <x v="1"/>
    <x v="10"/>
    <n v="6"/>
    <n v="378.68"/>
    <x v="1"/>
    <n v="1590.45"/>
    <n v="5"/>
    <n v="908.82600000000014"/>
  </r>
  <r>
    <x v="66"/>
    <x v="4"/>
    <x v="18"/>
    <x v="0"/>
    <x v="9"/>
    <n v="6"/>
    <n v="470.52"/>
    <x v="2"/>
    <n v="2258.4899999999998"/>
    <n v="4"/>
    <n v="1693.8659999999998"/>
  </r>
  <r>
    <x v="66"/>
    <x v="2"/>
    <x v="8"/>
    <x v="3"/>
    <x v="11"/>
    <n v="5"/>
    <n v="122.79"/>
    <x v="2"/>
    <n v="491.16"/>
    <n v="4"/>
    <n v="368.37"/>
  </r>
  <r>
    <x v="67"/>
    <x v="1"/>
    <x v="24"/>
    <x v="0"/>
    <x v="0"/>
    <n v="1"/>
    <n v="343.12"/>
    <x v="0"/>
    <n v="343.12"/>
    <n v="4"/>
    <n v="343.12"/>
  </r>
  <r>
    <x v="67"/>
    <x v="3"/>
    <x v="22"/>
    <x v="1"/>
    <x v="1"/>
    <n v="3"/>
    <n v="175.62"/>
    <x v="4"/>
    <n v="395.14"/>
    <n v="4"/>
    <n v="263.42499999999995"/>
  </r>
  <r>
    <x v="67"/>
    <x v="4"/>
    <x v="19"/>
    <x v="2"/>
    <x v="6"/>
    <n v="8"/>
    <n v="453.62"/>
    <x v="4"/>
    <n v="2721.73"/>
    <n v="5"/>
    <n v="1814.49"/>
  </r>
  <r>
    <x v="68"/>
    <x v="4"/>
    <x v="21"/>
    <x v="3"/>
    <x v="7"/>
    <n v="8"/>
    <n v="439.56"/>
    <x v="2"/>
    <n v="2813.21"/>
    <n v="5"/>
    <n v="2109.9139999999998"/>
  </r>
  <r>
    <x v="68"/>
    <x v="4"/>
    <x v="21"/>
    <x v="3"/>
    <x v="7"/>
    <n v="3"/>
    <n v="75.59"/>
    <x v="1"/>
    <n v="158.72999999999999"/>
    <n v="5"/>
    <n v="90.698999999999984"/>
  </r>
  <r>
    <x v="68"/>
    <x v="1"/>
    <x v="24"/>
    <x v="1"/>
    <x v="4"/>
    <n v="9"/>
    <n v="446.36"/>
    <x v="4"/>
    <n v="3012.92"/>
    <n v="3"/>
    <n v="2008.6100000000001"/>
  </r>
  <r>
    <x v="69"/>
    <x v="3"/>
    <x v="7"/>
    <x v="1"/>
    <x v="1"/>
    <n v="7"/>
    <n v="266.57"/>
    <x v="0"/>
    <n v="1865.96"/>
    <n v="5"/>
    <n v="1865.96"/>
  </r>
  <r>
    <x v="70"/>
    <x v="2"/>
    <x v="10"/>
    <x v="3"/>
    <x v="7"/>
    <n v="9"/>
    <n v="374.68"/>
    <x v="3"/>
    <n v="3034.93"/>
    <n v="4"/>
    <n v="2697.7179999999998"/>
  </r>
  <r>
    <x v="71"/>
    <x v="2"/>
    <x v="13"/>
    <x v="2"/>
    <x v="6"/>
    <n v="7"/>
    <n v="219.87"/>
    <x v="4"/>
    <n v="1154.3399999999999"/>
    <n v="5"/>
    <n v="769.56749999999988"/>
  </r>
  <r>
    <x v="72"/>
    <x v="1"/>
    <x v="1"/>
    <x v="2"/>
    <x v="6"/>
    <n v="4"/>
    <n v="399.07"/>
    <x v="1"/>
    <n v="1117.4000000000001"/>
    <n v="3"/>
    <n v="638.51600000000008"/>
  </r>
  <r>
    <x v="72"/>
    <x v="4"/>
    <x v="18"/>
    <x v="0"/>
    <x v="5"/>
    <n v="8"/>
    <n v="423.82"/>
    <x v="1"/>
    <n v="2373.4"/>
    <n v="4"/>
    <n v="1356.2320000000002"/>
  </r>
  <r>
    <x v="73"/>
    <x v="3"/>
    <x v="7"/>
    <x v="2"/>
    <x v="6"/>
    <n v="3"/>
    <n v="444.98"/>
    <x v="2"/>
    <n v="1067.94"/>
    <n v="4"/>
    <n v="800.952"/>
  </r>
  <r>
    <x v="74"/>
    <x v="4"/>
    <x v="20"/>
    <x v="1"/>
    <x v="4"/>
    <n v="3"/>
    <n v="453.04"/>
    <x v="4"/>
    <n v="1019.33"/>
    <n v="3"/>
    <n v="679.55"/>
  </r>
  <r>
    <x v="75"/>
    <x v="0"/>
    <x v="0"/>
    <x v="0"/>
    <x v="0"/>
    <n v="6"/>
    <n v="355.49"/>
    <x v="3"/>
    <n v="1919.65"/>
    <n v="4"/>
    <n v="1706.356"/>
  </r>
  <r>
    <x v="75"/>
    <x v="2"/>
    <x v="10"/>
    <x v="0"/>
    <x v="0"/>
    <n v="7"/>
    <n v="33.380000000000003"/>
    <x v="3"/>
    <n v="210.3"/>
    <n v="4"/>
    <n v="186.934"/>
  </r>
  <r>
    <x v="76"/>
    <x v="0"/>
    <x v="0"/>
    <x v="0"/>
    <x v="5"/>
    <n v="2"/>
    <n v="447.03"/>
    <x v="3"/>
    <n v="804.65"/>
    <n v="5"/>
    <n v="715.24399999999991"/>
  </r>
  <r>
    <x v="76"/>
    <x v="3"/>
    <x v="6"/>
    <x v="1"/>
    <x v="10"/>
    <n v="10"/>
    <n v="312.93"/>
    <x v="1"/>
    <n v="2190.4899999999998"/>
    <n v="5"/>
    <n v="1251.6999999999998"/>
  </r>
  <r>
    <x v="77"/>
    <x v="3"/>
    <x v="22"/>
    <x v="2"/>
    <x v="6"/>
    <n v="9"/>
    <n v="425.1"/>
    <x v="0"/>
    <n v="3825.9"/>
    <n v="4"/>
    <n v="3825.9"/>
  </r>
  <r>
    <x v="78"/>
    <x v="4"/>
    <x v="18"/>
    <x v="1"/>
    <x v="1"/>
    <n v="2"/>
    <n v="345.27"/>
    <x v="4"/>
    <n v="517.91"/>
    <n v="4"/>
    <n v="345.27499999999998"/>
  </r>
  <r>
    <x v="79"/>
    <x v="0"/>
    <x v="4"/>
    <x v="2"/>
    <x v="2"/>
    <n v="2"/>
    <n v="239.64"/>
    <x v="3"/>
    <n v="431.36"/>
    <n v="4"/>
    <n v="383.43200000000002"/>
  </r>
  <r>
    <x v="80"/>
    <x v="1"/>
    <x v="11"/>
    <x v="1"/>
    <x v="1"/>
    <n v="5"/>
    <n v="380.97"/>
    <x v="2"/>
    <n v="1523.88"/>
    <n v="3"/>
    <n v="1142.9100000000001"/>
  </r>
  <r>
    <x v="81"/>
    <x v="0"/>
    <x v="0"/>
    <x v="1"/>
    <x v="1"/>
    <n v="9"/>
    <n v="167.18"/>
    <x v="1"/>
    <n v="1053.25"/>
    <n v="4"/>
    <n v="601.86400000000003"/>
  </r>
  <r>
    <x v="82"/>
    <x v="0"/>
    <x v="4"/>
    <x v="2"/>
    <x v="3"/>
    <n v="2"/>
    <n v="52.59"/>
    <x v="3"/>
    <n v="94.66"/>
    <n v="3"/>
    <n v="84.141999999999996"/>
  </r>
  <r>
    <x v="83"/>
    <x v="4"/>
    <x v="18"/>
    <x v="1"/>
    <x v="4"/>
    <n v="8"/>
    <n v="449.42"/>
    <x v="2"/>
    <n v="2876.26"/>
    <n v="4"/>
    <n v="2157.1880000000001"/>
  </r>
  <r>
    <x v="84"/>
    <x v="4"/>
    <x v="19"/>
    <x v="0"/>
    <x v="5"/>
    <n v="9"/>
    <n v="12.27"/>
    <x v="0"/>
    <n v="110.43"/>
    <n v="4"/>
    <n v="110.43"/>
  </r>
  <r>
    <x v="85"/>
    <x v="4"/>
    <x v="16"/>
    <x v="0"/>
    <x v="0"/>
    <n v="6"/>
    <n v="186.15"/>
    <x v="1"/>
    <n v="781.83"/>
    <n v="4"/>
    <n v="446.76000000000005"/>
  </r>
  <r>
    <x v="85"/>
    <x v="3"/>
    <x v="17"/>
    <x v="3"/>
    <x v="7"/>
    <n v="7"/>
    <n v="242.93"/>
    <x v="1"/>
    <n v="1190.3599999999999"/>
    <n v="4"/>
    <n v="680.20699999999988"/>
  </r>
  <r>
    <x v="86"/>
    <x v="0"/>
    <x v="23"/>
    <x v="0"/>
    <x v="5"/>
    <n v="4"/>
    <n v="12.6"/>
    <x v="0"/>
    <n v="50.39"/>
    <n v="5"/>
    <n v="50.39"/>
  </r>
  <r>
    <x v="87"/>
    <x v="2"/>
    <x v="2"/>
    <x v="0"/>
    <x v="5"/>
    <n v="3"/>
    <n v="386.59"/>
    <x v="0"/>
    <n v="1159.77"/>
    <n v="4"/>
    <n v="1159.77"/>
  </r>
  <r>
    <x v="87"/>
    <x v="1"/>
    <x v="24"/>
    <x v="3"/>
    <x v="11"/>
    <n v="1"/>
    <n v="159.08000000000001"/>
    <x v="1"/>
    <n v="111.36"/>
    <n v="4"/>
    <n v="63.635999999999996"/>
  </r>
  <r>
    <x v="88"/>
    <x v="1"/>
    <x v="9"/>
    <x v="3"/>
    <x v="7"/>
    <n v="6"/>
    <n v="408.27"/>
    <x v="0"/>
    <n v="2449.63"/>
    <n v="5"/>
    <n v="2449.63"/>
  </r>
  <r>
    <x v="89"/>
    <x v="4"/>
    <x v="20"/>
    <x v="0"/>
    <x v="0"/>
    <n v="10"/>
    <n v="348.29"/>
    <x v="0"/>
    <n v="3482.93"/>
    <n v="4"/>
    <n v="3482.93"/>
  </r>
  <r>
    <x v="89"/>
    <x v="1"/>
    <x v="11"/>
    <x v="2"/>
    <x v="3"/>
    <n v="3"/>
    <n v="93.05"/>
    <x v="0"/>
    <n v="279.14999999999998"/>
    <n v="4"/>
    <n v="279.14999999999998"/>
  </r>
  <r>
    <x v="90"/>
    <x v="4"/>
    <x v="20"/>
    <x v="1"/>
    <x v="10"/>
    <n v="1"/>
    <n v="13.69"/>
    <x v="1"/>
    <n v="9.58"/>
    <n v="5"/>
    <n v="5.4730000000000008"/>
  </r>
  <r>
    <x v="90"/>
    <x v="3"/>
    <x v="6"/>
    <x v="1"/>
    <x v="1"/>
    <n v="5"/>
    <n v="230.77"/>
    <x v="0"/>
    <n v="1153.83"/>
    <n v="4"/>
    <n v="1153.83"/>
  </r>
  <r>
    <x v="91"/>
    <x v="0"/>
    <x v="15"/>
    <x v="3"/>
    <x v="11"/>
    <n v="5"/>
    <n v="349.29"/>
    <x v="3"/>
    <n v="1571.82"/>
    <n v="4"/>
    <n v="1397.175"/>
  </r>
  <r>
    <x v="92"/>
    <x v="2"/>
    <x v="8"/>
    <x v="3"/>
    <x v="11"/>
    <n v="2"/>
    <n v="262.99"/>
    <x v="2"/>
    <n v="420.78"/>
    <n v="3"/>
    <n v="315.58399999999995"/>
  </r>
  <r>
    <x v="93"/>
    <x v="1"/>
    <x v="9"/>
    <x v="3"/>
    <x v="11"/>
    <n v="4"/>
    <n v="291.98"/>
    <x v="3"/>
    <n v="1051.1400000000001"/>
    <n v="4"/>
    <n v="934.34800000000007"/>
  </r>
  <r>
    <x v="93"/>
    <x v="4"/>
    <x v="19"/>
    <x v="1"/>
    <x v="1"/>
    <n v="2"/>
    <n v="256.31"/>
    <x v="1"/>
    <n v="358.84"/>
    <n v="3"/>
    <n v="205.05399999999997"/>
  </r>
  <r>
    <x v="94"/>
    <x v="0"/>
    <x v="15"/>
    <x v="2"/>
    <x v="6"/>
    <n v="2"/>
    <n v="304.95"/>
    <x v="2"/>
    <n v="487.92"/>
    <n v="4"/>
    <n v="365.94"/>
  </r>
  <r>
    <x v="95"/>
    <x v="2"/>
    <x v="10"/>
    <x v="2"/>
    <x v="6"/>
    <n v="5"/>
    <n v="454.17"/>
    <x v="2"/>
    <n v="1816.69"/>
    <n v="4"/>
    <n v="1362.52"/>
  </r>
  <r>
    <x v="95"/>
    <x v="0"/>
    <x v="23"/>
    <x v="3"/>
    <x v="11"/>
    <n v="5"/>
    <n v="485.26"/>
    <x v="4"/>
    <n v="1819.71"/>
    <n v="5"/>
    <n v="1213.135"/>
  </r>
  <r>
    <x v="96"/>
    <x v="1"/>
    <x v="14"/>
    <x v="1"/>
    <x v="4"/>
    <n v="5"/>
    <n v="310.57"/>
    <x v="3"/>
    <n v="1397.58"/>
    <n v="4"/>
    <n v="1242.2949999999998"/>
  </r>
  <r>
    <x v="97"/>
    <x v="3"/>
    <x v="17"/>
    <x v="2"/>
    <x v="6"/>
    <n v="1"/>
    <n v="245.38"/>
    <x v="0"/>
    <n v="245.38"/>
    <n v="4"/>
    <n v="245.38"/>
  </r>
  <r>
    <x v="98"/>
    <x v="3"/>
    <x v="17"/>
    <x v="2"/>
    <x v="6"/>
    <n v="7"/>
    <n v="294.47000000000003"/>
    <x v="1"/>
    <n v="1442.89"/>
    <n v="4"/>
    <n v="824.50300000000016"/>
  </r>
  <r>
    <x v="99"/>
    <x v="3"/>
    <x v="6"/>
    <x v="3"/>
    <x v="8"/>
    <n v="3"/>
    <n v="100.42"/>
    <x v="3"/>
    <n v="271.12"/>
    <n v="4"/>
    <n v="240.994"/>
  </r>
  <r>
    <x v="99"/>
    <x v="3"/>
    <x v="22"/>
    <x v="2"/>
    <x v="6"/>
    <n v="8"/>
    <n v="26.85"/>
    <x v="0"/>
    <n v="214.8"/>
    <n v="4"/>
    <n v="214.8"/>
  </r>
  <r>
    <x v="100"/>
    <x v="1"/>
    <x v="24"/>
    <x v="3"/>
    <x v="7"/>
    <n v="6"/>
    <n v="307.95999999999998"/>
    <x v="3"/>
    <n v="1663"/>
    <n v="5"/>
    <n v="1478.2239999999999"/>
  </r>
  <r>
    <x v="101"/>
    <x v="1"/>
    <x v="1"/>
    <x v="3"/>
    <x v="11"/>
    <n v="9"/>
    <n v="245.76"/>
    <x v="2"/>
    <n v="1769.48"/>
    <n v="5"/>
    <n v="1327.1120000000001"/>
  </r>
  <r>
    <x v="101"/>
    <x v="0"/>
    <x v="4"/>
    <x v="3"/>
    <x v="7"/>
    <n v="1"/>
    <n v="145.66999999999999"/>
    <x v="0"/>
    <n v="145.66999999999999"/>
    <n v="3"/>
    <n v="145.66999999999999"/>
  </r>
  <r>
    <x v="102"/>
    <x v="3"/>
    <x v="7"/>
    <x v="3"/>
    <x v="7"/>
    <n v="9"/>
    <n v="253.06"/>
    <x v="3"/>
    <n v="2049.77"/>
    <n v="5"/>
    <n v="1822.0160000000001"/>
  </r>
  <r>
    <x v="102"/>
    <x v="1"/>
    <x v="24"/>
    <x v="1"/>
    <x v="1"/>
    <n v="5"/>
    <n v="290.42"/>
    <x v="4"/>
    <n v="1089.0899999999999"/>
    <n v="3"/>
    <n v="726.06499999999983"/>
  </r>
  <r>
    <x v="103"/>
    <x v="1"/>
    <x v="11"/>
    <x v="0"/>
    <x v="9"/>
    <n v="8"/>
    <n v="254.14"/>
    <x v="1"/>
    <n v="1423.19"/>
    <n v="3"/>
    <n v="813.25400000000013"/>
  </r>
  <r>
    <x v="104"/>
    <x v="0"/>
    <x v="4"/>
    <x v="1"/>
    <x v="1"/>
    <n v="1"/>
    <n v="60.43"/>
    <x v="1"/>
    <n v="42.3"/>
    <n v="4"/>
    <n v="24.170999999999999"/>
  </r>
  <r>
    <x v="105"/>
    <x v="3"/>
    <x v="17"/>
    <x v="2"/>
    <x v="2"/>
    <n v="10"/>
    <n v="27.97"/>
    <x v="2"/>
    <n v="223.8"/>
    <n v="4"/>
    <n v="167.86"/>
  </r>
  <r>
    <x v="106"/>
    <x v="2"/>
    <x v="13"/>
    <x v="3"/>
    <x v="7"/>
    <n v="4"/>
    <n v="167.11"/>
    <x v="2"/>
    <n v="534.77"/>
    <n v="3"/>
    <n v="401.08199999999999"/>
  </r>
  <r>
    <x v="106"/>
    <x v="3"/>
    <x v="6"/>
    <x v="2"/>
    <x v="6"/>
    <n v="6"/>
    <n v="230.95"/>
    <x v="4"/>
    <n v="1039.26"/>
    <n v="5"/>
    <n v="692.83500000000004"/>
  </r>
  <r>
    <x v="106"/>
    <x v="4"/>
    <x v="20"/>
    <x v="3"/>
    <x v="7"/>
    <n v="7"/>
    <n v="461.21"/>
    <x v="2"/>
    <n v="2582.79"/>
    <n v="5"/>
    <n v="1937.096"/>
  </r>
  <r>
    <x v="107"/>
    <x v="0"/>
    <x v="23"/>
    <x v="3"/>
    <x v="8"/>
    <n v="1"/>
    <n v="41.8"/>
    <x v="3"/>
    <n v="37.619999999999997"/>
    <n v="4"/>
    <n v="33.44"/>
  </r>
  <r>
    <x v="107"/>
    <x v="2"/>
    <x v="2"/>
    <x v="2"/>
    <x v="3"/>
    <n v="5"/>
    <n v="132.15"/>
    <x v="1"/>
    <n v="462.54"/>
    <n v="4"/>
    <n v="264.31500000000005"/>
  </r>
  <r>
    <x v="108"/>
    <x v="3"/>
    <x v="6"/>
    <x v="1"/>
    <x v="10"/>
    <n v="1"/>
    <n v="127.39"/>
    <x v="3"/>
    <n v="114.65"/>
    <n v="5"/>
    <n v="101.911"/>
  </r>
  <r>
    <x v="109"/>
    <x v="3"/>
    <x v="7"/>
    <x v="3"/>
    <x v="7"/>
    <n v="1"/>
    <n v="498.89"/>
    <x v="2"/>
    <n v="399.11"/>
    <n v="3"/>
    <n v="299.33199999999999"/>
  </r>
  <r>
    <x v="109"/>
    <x v="1"/>
    <x v="11"/>
    <x v="2"/>
    <x v="3"/>
    <n v="5"/>
    <n v="464.88"/>
    <x v="0"/>
    <n v="2324.38"/>
    <n v="5"/>
    <n v="2324.38"/>
  </r>
  <r>
    <x v="110"/>
    <x v="4"/>
    <x v="19"/>
    <x v="0"/>
    <x v="9"/>
    <n v="6"/>
    <n v="229.73"/>
    <x v="1"/>
    <n v="964.86"/>
    <n v="3"/>
    <n v="551.346"/>
  </r>
  <r>
    <x v="110"/>
    <x v="4"/>
    <x v="21"/>
    <x v="2"/>
    <x v="6"/>
    <n v="3"/>
    <n v="68.599999999999994"/>
    <x v="2"/>
    <n v="164.64"/>
    <n v="3"/>
    <n v="123.47999999999999"/>
  </r>
  <r>
    <x v="110"/>
    <x v="4"/>
    <x v="19"/>
    <x v="3"/>
    <x v="7"/>
    <n v="8"/>
    <n v="351.51"/>
    <x v="3"/>
    <n v="2530.88"/>
    <n v="4"/>
    <n v="2249.672"/>
  </r>
  <r>
    <x v="110"/>
    <x v="0"/>
    <x v="3"/>
    <x v="2"/>
    <x v="2"/>
    <n v="3"/>
    <n v="212.18"/>
    <x v="3"/>
    <n v="572.89"/>
    <n v="3"/>
    <n v="509.23599999999999"/>
  </r>
  <r>
    <x v="111"/>
    <x v="0"/>
    <x v="4"/>
    <x v="0"/>
    <x v="0"/>
    <n v="2"/>
    <n v="168.05"/>
    <x v="0"/>
    <n v="336.1"/>
    <n v="3"/>
    <n v="336.1"/>
  </r>
  <r>
    <x v="111"/>
    <x v="0"/>
    <x v="15"/>
    <x v="1"/>
    <x v="10"/>
    <n v="3"/>
    <n v="197.41"/>
    <x v="4"/>
    <n v="444.16"/>
    <n v="3"/>
    <n v="296.10250000000002"/>
  </r>
  <r>
    <x v="111"/>
    <x v="0"/>
    <x v="3"/>
    <x v="1"/>
    <x v="1"/>
    <n v="6"/>
    <n v="206.42"/>
    <x v="3"/>
    <n v="1114.6500000000001"/>
    <n v="5"/>
    <n v="990.79800000000012"/>
  </r>
  <r>
    <x v="112"/>
    <x v="2"/>
    <x v="13"/>
    <x v="0"/>
    <x v="9"/>
    <n v="1"/>
    <n v="41.14"/>
    <x v="1"/>
    <n v="28.8"/>
    <n v="4"/>
    <n v="16.457999999999998"/>
  </r>
  <r>
    <x v="112"/>
    <x v="3"/>
    <x v="17"/>
    <x v="1"/>
    <x v="1"/>
    <n v="1"/>
    <n v="317.5"/>
    <x v="2"/>
    <n v="254"/>
    <n v="3"/>
    <n v="190.5"/>
  </r>
  <r>
    <x v="113"/>
    <x v="3"/>
    <x v="6"/>
    <x v="0"/>
    <x v="5"/>
    <n v="3"/>
    <n v="322.33999999999997"/>
    <x v="4"/>
    <n v="725.27"/>
    <n v="5"/>
    <n v="483.51499999999999"/>
  </r>
  <r>
    <x v="114"/>
    <x v="0"/>
    <x v="4"/>
    <x v="1"/>
    <x v="1"/>
    <n v="1"/>
    <n v="234.54"/>
    <x v="2"/>
    <n v="187.64"/>
    <n v="4"/>
    <n v="140.73199999999997"/>
  </r>
  <r>
    <x v="115"/>
    <x v="3"/>
    <x v="17"/>
    <x v="0"/>
    <x v="0"/>
    <n v="4"/>
    <n v="401.16"/>
    <x v="0"/>
    <n v="1604.66"/>
    <n v="5"/>
    <n v="1604.66"/>
  </r>
  <r>
    <x v="116"/>
    <x v="2"/>
    <x v="5"/>
    <x v="0"/>
    <x v="0"/>
    <n v="5"/>
    <n v="92.78"/>
    <x v="4"/>
    <n v="347.92"/>
    <n v="4"/>
    <n v="231.94500000000002"/>
  </r>
  <r>
    <x v="117"/>
    <x v="3"/>
    <x v="22"/>
    <x v="3"/>
    <x v="8"/>
    <n v="3"/>
    <n v="305.2"/>
    <x v="4"/>
    <n v="686.69"/>
    <n v="4"/>
    <n v="457.79000000000008"/>
  </r>
  <r>
    <x v="118"/>
    <x v="3"/>
    <x v="6"/>
    <x v="1"/>
    <x v="4"/>
    <n v="5"/>
    <n v="492.57"/>
    <x v="4"/>
    <n v="1847.15"/>
    <n v="5"/>
    <n v="1231.4375"/>
  </r>
  <r>
    <x v="118"/>
    <x v="3"/>
    <x v="17"/>
    <x v="1"/>
    <x v="10"/>
    <n v="5"/>
    <n v="252.27"/>
    <x v="3"/>
    <n v="1135.2"/>
    <n v="5"/>
    <n v="1009.0650000000001"/>
  </r>
  <r>
    <x v="119"/>
    <x v="1"/>
    <x v="14"/>
    <x v="0"/>
    <x v="0"/>
    <n v="10"/>
    <n v="475.7"/>
    <x v="4"/>
    <n v="3567.76"/>
    <n v="4"/>
    <n v="2378.5100000000002"/>
  </r>
  <r>
    <x v="120"/>
    <x v="4"/>
    <x v="19"/>
    <x v="0"/>
    <x v="5"/>
    <n v="5"/>
    <n v="378.66"/>
    <x v="0"/>
    <n v="1893.32"/>
    <n v="5"/>
    <n v="1893.32"/>
  </r>
  <r>
    <x v="121"/>
    <x v="4"/>
    <x v="21"/>
    <x v="0"/>
    <x v="0"/>
    <n v="4"/>
    <n v="193.56"/>
    <x v="3"/>
    <n v="696.82"/>
    <n v="4"/>
    <n v="619.39600000000007"/>
  </r>
  <r>
    <x v="122"/>
    <x v="2"/>
    <x v="2"/>
    <x v="0"/>
    <x v="5"/>
    <n v="4"/>
    <n v="154.28"/>
    <x v="1"/>
    <n v="431.98"/>
    <n v="3"/>
    <n v="246.84400000000002"/>
  </r>
  <r>
    <x v="123"/>
    <x v="2"/>
    <x v="10"/>
    <x v="3"/>
    <x v="11"/>
    <n v="3"/>
    <n v="192.42"/>
    <x v="0"/>
    <n v="577.26"/>
    <n v="4"/>
    <n v="577.26"/>
  </r>
  <r>
    <x v="123"/>
    <x v="4"/>
    <x v="20"/>
    <x v="1"/>
    <x v="10"/>
    <n v="2"/>
    <n v="229.23"/>
    <x v="2"/>
    <n v="366.77"/>
    <n v="4"/>
    <n v="275.07799999999997"/>
  </r>
  <r>
    <x v="124"/>
    <x v="2"/>
    <x v="13"/>
    <x v="3"/>
    <x v="7"/>
    <n v="8"/>
    <n v="144.61000000000001"/>
    <x v="2"/>
    <n v="925.53"/>
    <n v="3"/>
    <n v="694.154"/>
  </r>
  <r>
    <x v="125"/>
    <x v="2"/>
    <x v="10"/>
    <x v="1"/>
    <x v="4"/>
    <n v="9"/>
    <n v="112.45"/>
    <x v="3"/>
    <n v="910.81"/>
    <n v="4"/>
    <n v="809.6049999999999"/>
  </r>
  <r>
    <x v="125"/>
    <x v="2"/>
    <x v="10"/>
    <x v="0"/>
    <x v="5"/>
    <n v="6"/>
    <n v="139.94999999999999"/>
    <x v="1"/>
    <n v="587.79"/>
    <n v="4"/>
    <n v="335.88"/>
  </r>
  <r>
    <x v="125"/>
    <x v="4"/>
    <x v="19"/>
    <x v="1"/>
    <x v="4"/>
    <n v="8"/>
    <n v="472.03"/>
    <x v="0"/>
    <n v="3776.21"/>
    <n v="4"/>
    <n v="3776.21"/>
  </r>
  <r>
    <x v="126"/>
    <x v="4"/>
    <x v="21"/>
    <x v="0"/>
    <x v="9"/>
    <n v="7"/>
    <n v="16.5"/>
    <x v="0"/>
    <n v="115.5"/>
    <n v="4"/>
    <n v="115.5"/>
  </r>
  <r>
    <x v="127"/>
    <x v="3"/>
    <x v="22"/>
    <x v="2"/>
    <x v="2"/>
    <n v="6"/>
    <n v="453.99"/>
    <x v="2"/>
    <n v="2179.14"/>
    <n v="4"/>
    <n v="1634.3519999999999"/>
  </r>
  <r>
    <x v="127"/>
    <x v="0"/>
    <x v="4"/>
    <x v="2"/>
    <x v="6"/>
    <n v="8"/>
    <n v="67.59"/>
    <x v="0"/>
    <n v="540.70000000000005"/>
    <n v="3"/>
    <n v="540.70000000000005"/>
  </r>
  <r>
    <x v="127"/>
    <x v="0"/>
    <x v="4"/>
    <x v="2"/>
    <x v="6"/>
    <n v="10"/>
    <n v="21.4"/>
    <x v="3"/>
    <n v="192.63"/>
    <n v="4"/>
    <n v="171.23"/>
  </r>
  <r>
    <x v="127"/>
    <x v="4"/>
    <x v="16"/>
    <x v="2"/>
    <x v="6"/>
    <n v="9"/>
    <n v="12.48"/>
    <x v="3"/>
    <n v="101.09"/>
    <n v="4"/>
    <n v="89.858000000000004"/>
  </r>
  <r>
    <x v="128"/>
    <x v="1"/>
    <x v="24"/>
    <x v="3"/>
    <x v="8"/>
    <n v="7"/>
    <n v="80.13"/>
    <x v="4"/>
    <n v="420.7"/>
    <n v="5"/>
    <n v="280.47249999999997"/>
  </r>
  <r>
    <x v="128"/>
    <x v="2"/>
    <x v="5"/>
    <x v="3"/>
    <x v="7"/>
    <n v="8"/>
    <n v="208.21"/>
    <x v="0"/>
    <n v="1665.67"/>
    <n v="4"/>
    <n v="1665.67"/>
  </r>
  <r>
    <x v="128"/>
    <x v="1"/>
    <x v="14"/>
    <x v="0"/>
    <x v="9"/>
    <n v="3"/>
    <n v="438.42"/>
    <x v="2"/>
    <n v="1052.2"/>
    <n v="5"/>
    <n v="789.14800000000002"/>
  </r>
  <r>
    <x v="128"/>
    <x v="4"/>
    <x v="18"/>
    <x v="3"/>
    <x v="8"/>
    <n v="5"/>
    <n v="145.91999999999999"/>
    <x v="4"/>
    <n v="547.19000000000005"/>
    <n v="4"/>
    <n v="364.79000000000008"/>
  </r>
  <r>
    <x v="129"/>
    <x v="0"/>
    <x v="0"/>
    <x v="0"/>
    <x v="5"/>
    <n v="7"/>
    <n v="253.65"/>
    <x v="0"/>
    <n v="1775.56"/>
    <n v="5"/>
    <n v="1775.56"/>
  </r>
  <r>
    <x v="129"/>
    <x v="4"/>
    <x v="20"/>
    <x v="1"/>
    <x v="4"/>
    <n v="5"/>
    <n v="481.98"/>
    <x v="4"/>
    <n v="1807.42"/>
    <n v="5"/>
    <n v="1204.9450000000002"/>
  </r>
  <r>
    <x v="130"/>
    <x v="0"/>
    <x v="23"/>
    <x v="3"/>
    <x v="7"/>
    <n v="2"/>
    <n v="484.64"/>
    <x v="0"/>
    <n v="969.28"/>
    <n v="4"/>
    <n v="969.28"/>
  </r>
  <r>
    <x v="130"/>
    <x v="4"/>
    <x v="16"/>
    <x v="1"/>
    <x v="4"/>
    <n v="10"/>
    <n v="384.05"/>
    <x v="1"/>
    <n v="2688.34"/>
    <n v="4"/>
    <n v="1536.1900000000003"/>
  </r>
  <r>
    <x v="130"/>
    <x v="3"/>
    <x v="6"/>
    <x v="3"/>
    <x v="11"/>
    <n v="2"/>
    <n v="320.43"/>
    <x v="2"/>
    <n v="512.69000000000005"/>
    <n v="3"/>
    <n v="384.51800000000003"/>
  </r>
  <r>
    <x v="131"/>
    <x v="4"/>
    <x v="21"/>
    <x v="2"/>
    <x v="6"/>
    <n v="6"/>
    <n v="360.15"/>
    <x v="1"/>
    <n v="1512.64"/>
    <n v="5"/>
    <n v="864.37000000000023"/>
  </r>
  <r>
    <x v="131"/>
    <x v="0"/>
    <x v="4"/>
    <x v="3"/>
    <x v="11"/>
    <n v="10"/>
    <n v="454.85"/>
    <x v="0"/>
    <n v="4548.54"/>
    <n v="5"/>
    <n v="4548.54"/>
  </r>
  <r>
    <x v="132"/>
    <x v="4"/>
    <x v="16"/>
    <x v="0"/>
    <x v="0"/>
    <n v="10"/>
    <n v="217.5"/>
    <x v="2"/>
    <n v="1740.01"/>
    <n v="3"/>
    <n v="1305.01"/>
  </r>
  <r>
    <x v="132"/>
    <x v="0"/>
    <x v="4"/>
    <x v="2"/>
    <x v="3"/>
    <n v="2"/>
    <n v="224.85"/>
    <x v="2"/>
    <n v="359.76"/>
    <n v="3"/>
    <n v="269.82"/>
  </r>
  <r>
    <x v="132"/>
    <x v="2"/>
    <x v="8"/>
    <x v="1"/>
    <x v="4"/>
    <n v="2"/>
    <n v="334.64"/>
    <x v="3"/>
    <n v="602.34"/>
    <n v="5"/>
    <n v="535.41200000000003"/>
  </r>
  <r>
    <x v="133"/>
    <x v="3"/>
    <x v="17"/>
    <x v="2"/>
    <x v="2"/>
    <n v="1"/>
    <n v="358.56"/>
    <x v="2"/>
    <n v="286.85000000000002"/>
    <n v="3"/>
    <n v="215.13800000000003"/>
  </r>
  <r>
    <x v="133"/>
    <x v="2"/>
    <x v="5"/>
    <x v="0"/>
    <x v="5"/>
    <n v="2"/>
    <n v="389.82"/>
    <x v="3"/>
    <n v="701.67"/>
    <n v="4"/>
    <n v="623.7059999999999"/>
  </r>
  <r>
    <x v="134"/>
    <x v="2"/>
    <x v="13"/>
    <x v="0"/>
    <x v="5"/>
    <n v="5"/>
    <n v="86.45"/>
    <x v="2"/>
    <n v="345.8"/>
    <n v="4"/>
    <n v="259.35000000000002"/>
  </r>
  <r>
    <x v="134"/>
    <x v="3"/>
    <x v="6"/>
    <x v="3"/>
    <x v="7"/>
    <n v="7"/>
    <n v="449.08"/>
    <x v="0"/>
    <n v="3143.59"/>
    <n v="3"/>
    <n v="3143.59"/>
  </r>
  <r>
    <x v="135"/>
    <x v="1"/>
    <x v="24"/>
    <x v="1"/>
    <x v="10"/>
    <n v="4"/>
    <n v="258.73"/>
    <x v="0"/>
    <n v="1034.92"/>
    <n v="4"/>
    <n v="1034.92"/>
  </r>
  <r>
    <x v="135"/>
    <x v="4"/>
    <x v="20"/>
    <x v="3"/>
    <x v="8"/>
    <n v="4"/>
    <n v="184"/>
    <x v="0"/>
    <n v="736"/>
    <n v="5"/>
    <n v="736"/>
  </r>
  <r>
    <x v="136"/>
    <x v="1"/>
    <x v="9"/>
    <x v="3"/>
    <x v="8"/>
    <n v="10"/>
    <n v="475.08"/>
    <x v="4"/>
    <n v="3563.11"/>
    <n v="4"/>
    <n v="2375.41"/>
  </r>
  <r>
    <x v="137"/>
    <x v="1"/>
    <x v="9"/>
    <x v="1"/>
    <x v="10"/>
    <n v="8"/>
    <n v="243.54"/>
    <x v="1"/>
    <n v="1363.84"/>
    <n v="4"/>
    <n v="779.34399999999994"/>
  </r>
  <r>
    <x v="137"/>
    <x v="0"/>
    <x v="15"/>
    <x v="1"/>
    <x v="1"/>
    <n v="9"/>
    <n v="493.57"/>
    <x v="0"/>
    <n v="4442.17"/>
    <n v="4"/>
    <n v="4442.17"/>
  </r>
  <r>
    <x v="137"/>
    <x v="1"/>
    <x v="9"/>
    <x v="0"/>
    <x v="0"/>
    <n v="9"/>
    <n v="327.37"/>
    <x v="0"/>
    <n v="2946.31"/>
    <n v="4"/>
    <n v="2946.31"/>
  </r>
  <r>
    <x v="138"/>
    <x v="4"/>
    <x v="16"/>
    <x v="1"/>
    <x v="4"/>
    <n v="7"/>
    <n v="260.72000000000003"/>
    <x v="4"/>
    <n v="1368.79"/>
    <n v="5"/>
    <n v="912.53"/>
  </r>
  <r>
    <x v="138"/>
    <x v="2"/>
    <x v="10"/>
    <x v="0"/>
    <x v="5"/>
    <n v="2"/>
    <n v="198.85"/>
    <x v="3"/>
    <n v="357.94"/>
    <n v="5"/>
    <n v="318.17"/>
  </r>
  <r>
    <x v="139"/>
    <x v="1"/>
    <x v="1"/>
    <x v="0"/>
    <x v="0"/>
    <n v="3"/>
    <n v="90.49"/>
    <x v="1"/>
    <n v="190.03"/>
    <n v="4"/>
    <n v="108.58900000000001"/>
  </r>
  <r>
    <x v="139"/>
    <x v="4"/>
    <x v="18"/>
    <x v="0"/>
    <x v="9"/>
    <n v="4"/>
    <n v="311.77"/>
    <x v="3"/>
    <n v="1122.3599999999999"/>
    <n v="3"/>
    <n v="997.65199999999993"/>
  </r>
  <r>
    <x v="139"/>
    <x v="2"/>
    <x v="8"/>
    <x v="0"/>
    <x v="9"/>
    <n v="6"/>
    <n v="351.05"/>
    <x v="3"/>
    <n v="1895.69"/>
    <n v="5"/>
    <n v="1685.06"/>
  </r>
  <r>
    <x v="140"/>
    <x v="1"/>
    <x v="14"/>
    <x v="2"/>
    <x v="6"/>
    <n v="8"/>
    <n v="329.17"/>
    <x v="0"/>
    <n v="2633.36"/>
    <n v="4"/>
    <n v="2633.36"/>
  </r>
  <r>
    <x v="141"/>
    <x v="3"/>
    <x v="7"/>
    <x v="1"/>
    <x v="1"/>
    <n v="4"/>
    <n v="290.98"/>
    <x v="1"/>
    <n v="814.76"/>
    <n v="5"/>
    <n v="465.584"/>
  </r>
  <r>
    <x v="141"/>
    <x v="1"/>
    <x v="9"/>
    <x v="1"/>
    <x v="10"/>
    <n v="10"/>
    <n v="43.77"/>
    <x v="2"/>
    <n v="350.17"/>
    <n v="5"/>
    <n v="262.63"/>
  </r>
  <r>
    <x v="142"/>
    <x v="2"/>
    <x v="8"/>
    <x v="2"/>
    <x v="2"/>
    <n v="1"/>
    <n v="271.83"/>
    <x v="1"/>
    <n v="190.28"/>
    <n v="5"/>
    <n v="108.73100000000001"/>
  </r>
  <r>
    <x v="143"/>
    <x v="4"/>
    <x v="19"/>
    <x v="0"/>
    <x v="0"/>
    <n v="8"/>
    <n v="173.52"/>
    <x v="2"/>
    <n v="1110.51"/>
    <n v="5"/>
    <n v="832.87799999999993"/>
  </r>
  <r>
    <x v="144"/>
    <x v="2"/>
    <x v="13"/>
    <x v="3"/>
    <x v="11"/>
    <n v="5"/>
    <n v="256.29000000000002"/>
    <x v="4"/>
    <n v="961.1"/>
    <n v="3"/>
    <n v="640.73749999999995"/>
  </r>
  <r>
    <x v="145"/>
    <x v="1"/>
    <x v="1"/>
    <x v="3"/>
    <x v="7"/>
    <n v="5"/>
    <n v="101.65"/>
    <x v="4"/>
    <n v="381.19"/>
    <n v="4"/>
    <n v="254.1275"/>
  </r>
  <r>
    <x v="146"/>
    <x v="0"/>
    <x v="23"/>
    <x v="2"/>
    <x v="6"/>
    <n v="3"/>
    <n v="200.71"/>
    <x v="4"/>
    <n v="451.59"/>
    <n v="5"/>
    <n v="301.0575"/>
  </r>
  <r>
    <x v="147"/>
    <x v="3"/>
    <x v="22"/>
    <x v="1"/>
    <x v="10"/>
    <n v="7"/>
    <n v="44.88"/>
    <x v="1"/>
    <n v="219.92"/>
    <n v="4"/>
    <n v="125.67199999999998"/>
  </r>
  <r>
    <x v="148"/>
    <x v="1"/>
    <x v="9"/>
    <x v="1"/>
    <x v="1"/>
    <n v="5"/>
    <n v="124.28"/>
    <x v="1"/>
    <n v="434.99"/>
    <n v="3"/>
    <n v="248.57000000000002"/>
  </r>
  <r>
    <x v="148"/>
    <x v="1"/>
    <x v="24"/>
    <x v="2"/>
    <x v="2"/>
    <n v="4"/>
    <n v="358.97"/>
    <x v="0"/>
    <n v="1435.87"/>
    <n v="5"/>
    <n v="1435.87"/>
  </r>
  <r>
    <x v="149"/>
    <x v="0"/>
    <x v="0"/>
    <x v="2"/>
    <x v="2"/>
    <n v="6"/>
    <n v="388.44"/>
    <x v="2"/>
    <n v="1864.49"/>
    <n v="4"/>
    <n v="1398.3620000000001"/>
  </r>
  <r>
    <x v="150"/>
    <x v="2"/>
    <x v="13"/>
    <x v="0"/>
    <x v="0"/>
    <n v="4"/>
    <n v="447.35"/>
    <x v="2"/>
    <n v="1431.53"/>
    <n v="4"/>
    <n v="1073.6499999999999"/>
  </r>
  <r>
    <x v="151"/>
    <x v="2"/>
    <x v="10"/>
    <x v="1"/>
    <x v="1"/>
    <n v="8"/>
    <n v="20.87"/>
    <x v="3"/>
    <n v="150.27000000000001"/>
    <n v="4"/>
    <n v="133.57400000000001"/>
  </r>
  <r>
    <x v="151"/>
    <x v="0"/>
    <x v="23"/>
    <x v="1"/>
    <x v="4"/>
    <n v="7"/>
    <n v="215.69"/>
    <x v="3"/>
    <n v="1358.86"/>
    <n v="3"/>
    <n v="1207.877"/>
  </r>
  <r>
    <x v="152"/>
    <x v="1"/>
    <x v="24"/>
    <x v="2"/>
    <x v="2"/>
    <n v="4"/>
    <n v="181.61"/>
    <x v="4"/>
    <n v="544.82000000000005"/>
    <n v="4"/>
    <n v="363.21000000000004"/>
  </r>
  <r>
    <x v="153"/>
    <x v="1"/>
    <x v="11"/>
    <x v="0"/>
    <x v="9"/>
    <n v="8"/>
    <n v="142.71"/>
    <x v="4"/>
    <n v="856.25"/>
    <n v="4"/>
    <n v="570.82999999999993"/>
  </r>
  <r>
    <x v="154"/>
    <x v="4"/>
    <x v="16"/>
    <x v="0"/>
    <x v="5"/>
    <n v="3"/>
    <n v="282.16000000000003"/>
    <x v="1"/>
    <n v="592.54"/>
    <n v="5"/>
    <n v="338.596"/>
  </r>
  <r>
    <x v="155"/>
    <x v="1"/>
    <x v="24"/>
    <x v="1"/>
    <x v="4"/>
    <n v="1"/>
    <n v="420.78"/>
    <x v="3"/>
    <n v="378.7"/>
    <n v="3"/>
    <n v="336.62199999999996"/>
  </r>
  <r>
    <x v="155"/>
    <x v="1"/>
    <x v="1"/>
    <x v="0"/>
    <x v="9"/>
    <n v="3"/>
    <n v="273.26"/>
    <x v="2"/>
    <n v="655.82"/>
    <n v="5"/>
    <n v="491.86400000000003"/>
  </r>
  <r>
    <x v="156"/>
    <x v="0"/>
    <x v="3"/>
    <x v="1"/>
    <x v="1"/>
    <n v="7"/>
    <n v="167.82"/>
    <x v="3"/>
    <n v="1057.26"/>
    <n v="5"/>
    <n v="939.78599999999994"/>
  </r>
  <r>
    <x v="157"/>
    <x v="4"/>
    <x v="16"/>
    <x v="2"/>
    <x v="2"/>
    <n v="4"/>
    <n v="460.19"/>
    <x v="1"/>
    <n v="1288.53"/>
    <n v="5"/>
    <n v="736.30200000000002"/>
  </r>
  <r>
    <x v="158"/>
    <x v="0"/>
    <x v="23"/>
    <x v="3"/>
    <x v="8"/>
    <n v="5"/>
    <n v="451.2"/>
    <x v="2"/>
    <n v="1804.82"/>
    <n v="3"/>
    <n v="1353.6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50">
  <r>
    <d v="2023-01-01T00:00:00"/>
    <x v="0"/>
    <x v="0"/>
    <x v="0"/>
    <x v="0"/>
    <n v="5"/>
    <x v="0"/>
    <x v="0"/>
    <n v="1886.47"/>
    <x v="0"/>
    <n v="565.95500000000015"/>
    <x v="0"/>
  </r>
  <r>
    <d v="2023-01-01T00:00:00"/>
    <x v="1"/>
    <x v="1"/>
    <x v="1"/>
    <x v="1"/>
    <n v="7"/>
    <x v="1"/>
    <x v="0"/>
    <n v="2794.41"/>
    <x v="0"/>
    <n v="2794.41"/>
    <x v="0"/>
  </r>
  <r>
    <d v="2023-01-01T00:00:00"/>
    <x v="2"/>
    <x v="2"/>
    <x v="2"/>
    <x v="2"/>
    <n v="1"/>
    <x v="2"/>
    <x v="1"/>
    <n v="216.44"/>
    <x v="0"/>
    <n v="123.68"/>
    <x v="0"/>
  </r>
  <r>
    <d v="2023-01-03T00:00:00"/>
    <x v="0"/>
    <x v="3"/>
    <x v="1"/>
    <x v="1"/>
    <n v="8"/>
    <x v="3"/>
    <x v="2"/>
    <n v="2699.62"/>
    <x v="1"/>
    <n v="2024.7079999999999"/>
    <x v="0"/>
  </r>
  <r>
    <d v="2023-01-03T00:00:00"/>
    <x v="0"/>
    <x v="4"/>
    <x v="2"/>
    <x v="3"/>
    <n v="8"/>
    <x v="4"/>
    <x v="1"/>
    <n v="2327.87"/>
    <x v="0"/>
    <n v="1330.2139999999999"/>
    <x v="0"/>
  </r>
  <r>
    <d v="2023-01-03T00:00:00"/>
    <x v="2"/>
    <x v="2"/>
    <x v="1"/>
    <x v="4"/>
    <n v="9"/>
    <x v="5"/>
    <x v="1"/>
    <n v="977.6"/>
    <x v="1"/>
    <n v="558.64100000000008"/>
    <x v="0"/>
  </r>
  <r>
    <d v="2023-01-06T00:00:00"/>
    <x v="2"/>
    <x v="5"/>
    <x v="0"/>
    <x v="5"/>
    <n v="9"/>
    <x v="6"/>
    <x v="1"/>
    <n v="1884.19"/>
    <x v="0"/>
    <n v="1076.674"/>
    <x v="0"/>
  </r>
  <r>
    <d v="2023-01-08T00:00:00"/>
    <x v="3"/>
    <x v="6"/>
    <x v="2"/>
    <x v="6"/>
    <n v="4"/>
    <x v="7"/>
    <x v="3"/>
    <n v="1310.05"/>
    <x v="2"/>
    <n v="1164.49"/>
    <x v="0"/>
  </r>
  <r>
    <d v="2023-01-09T00:00:00"/>
    <x v="1"/>
    <x v="1"/>
    <x v="0"/>
    <x v="0"/>
    <n v="9"/>
    <x v="8"/>
    <x v="2"/>
    <n v="1304.01"/>
    <x v="2"/>
    <n v="978.01199999999994"/>
    <x v="0"/>
  </r>
  <r>
    <d v="2023-01-10T00:00:00"/>
    <x v="3"/>
    <x v="7"/>
    <x v="0"/>
    <x v="0"/>
    <n v="9"/>
    <x v="9"/>
    <x v="2"/>
    <n v="1147.27"/>
    <x v="1"/>
    <n v="860.45799999999997"/>
    <x v="0"/>
  </r>
  <r>
    <d v="2023-01-15T00:00:00"/>
    <x v="2"/>
    <x v="8"/>
    <x v="3"/>
    <x v="7"/>
    <n v="5"/>
    <x v="10"/>
    <x v="4"/>
    <n v="1660.92"/>
    <x v="1"/>
    <n v="1107.2825"/>
    <x v="0"/>
  </r>
  <r>
    <d v="2023-01-15T00:00:00"/>
    <x v="1"/>
    <x v="9"/>
    <x v="0"/>
    <x v="0"/>
    <n v="5"/>
    <x v="11"/>
    <x v="0"/>
    <n v="114.6"/>
    <x v="0"/>
    <n v="114.6"/>
    <x v="0"/>
  </r>
  <r>
    <d v="2023-01-16T00:00:00"/>
    <x v="2"/>
    <x v="10"/>
    <x v="1"/>
    <x v="4"/>
    <n v="5"/>
    <x v="12"/>
    <x v="2"/>
    <n v="535.86"/>
    <x v="2"/>
    <n v="401.89"/>
    <x v="0"/>
  </r>
  <r>
    <d v="2023-01-17T00:00:00"/>
    <x v="1"/>
    <x v="11"/>
    <x v="1"/>
    <x v="1"/>
    <n v="4"/>
    <x v="13"/>
    <x v="3"/>
    <n v="1175.4000000000001"/>
    <x v="2"/>
    <n v="1044.8000000000002"/>
    <x v="0"/>
  </r>
  <r>
    <d v="2023-01-18T00:00:00"/>
    <x v="3"/>
    <x v="6"/>
    <x v="3"/>
    <x v="8"/>
    <n v="7"/>
    <x v="14"/>
    <x v="3"/>
    <n v="2100.37"/>
    <x v="1"/>
    <n v="1866.9969999999998"/>
    <x v="0"/>
  </r>
  <r>
    <d v="2023-01-19T00:00:00"/>
    <x v="3"/>
    <x v="12"/>
    <x v="1"/>
    <x v="4"/>
    <n v="3"/>
    <x v="15"/>
    <x v="1"/>
    <n v="410.76"/>
    <x v="0"/>
    <n v="234.72"/>
    <x v="0"/>
  </r>
  <r>
    <d v="2023-01-21T00:00:00"/>
    <x v="0"/>
    <x v="3"/>
    <x v="0"/>
    <x v="9"/>
    <n v="1"/>
    <x v="16"/>
    <x v="1"/>
    <n v="196.3"/>
    <x v="0"/>
    <n v="112.17100000000001"/>
    <x v="0"/>
  </r>
  <r>
    <d v="2023-01-21T00:00:00"/>
    <x v="2"/>
    <x v="13"/>
    <x v="3"/>
    <x v="8"/>
    <n v="1"/>
    <x v="17"/>
    <x v="1"/>
    <n v="166.38"/>
    <x v="2"/>
    <n v="95.072999999999993"/>
    <x v="0"/>
  </r>
  <r>
    <d v="2023-01-21T00:00:00"/>
    <x v="3"/>
    <x v="12"/>
    <x v="1"/>
    <x v="4"/>
    <n v="5"/>
    <x v="18"/>
    <x v="4"/>
    <n v="210.51"/>
    <x v="0"/>
    <n v="140.33499999999998"/>
    <x v="0"/>
  </r>
  <r>
    <d v="2023-01-21T00:00:00"/>
    <x v="1"/>
    <x v="14"/>
    <x v="0"/>
    <x v="0"/>
    <n v="1"/>
    <x v="19"/>
    <x v="2"/>
    <n v="220.68"/>
    <x v="2"/>
    <n v="165.512"/>
    <x v="0"/>
  </r>
  <r>
    <d v="2023-01-23T00:00:00"/>
    <x v="0"/>
    <x v="15"/>
    <x v="2"/>
    <x v="3"/>
    <n v="8"/>
    <x v="20"/>
    <x v="1"/>
    <n v="1713.26"/>
    <x v="0"/>
    <n v="979.00400000000002"/>
    <x v="0"/>
  </r>
  <r>
    <d v="2023-01-24T00:00:00"/>
    <x v="4"/>
    <x v="16"/>
    <x v="0"/>
    <x v="0"/>
    <n v="2"/>
    <x v="21"/>
    <x v="2"/>
    <n v="158.09"/>
    <x v="1"/>
    <n v="118.57"/>
    <x v="0"/>
  </r>
  <r>
    <d v="2023-01-24T00:00:00"/>
    <x v="1"/>
    <x v="1"/>
    <x v="3"/>
    <x v="7"/>
    <n v="5"/>
    <x v="22"/>
    <x v="0"/>
    <n v="1583.55"/>
    <x v="1"/>
    <n v="1583.55"/>
    <x v="0"/>
  </r>
  <r>
    <d v="2023-01-27T00:00:00"/>
    <x v="2"/>
    <x v="13"/>
    <x v="0"/>
    <x v="5"/>
    <n v="3"/>
    <x v="23"/>
    <x v="3"/>
    <n v="1115.22"/>
    <x v="2"/>
    <n v="991.30799999999999"/>
    <x v="0"/>
  </r>
  <r>
    <d v="2023-01-27T00:00:00"/>
    <x v="3"/>
    <x v="17"/>
    <x v="0"/>
    <x v="9"/>
    <n v="9"/>
    <x v="24"/>
    <x v="4"/>
    <n v="2506.4699999999998"/>
    <x v="2"/>
    <n v="1670.9775"/>
    <x v="0"/>
  </r>
  <r>
    <d v="2023-01-28T00:00:00"/>
    <x v="4"/>
    <x v="18"/>
    <x v="1"/>
    <x v="10"/>
    <n v="5"/>
    <x v="25"/>
    <x v="2"/>
    <n v="390.49"/>
    <x v="1"/>
    <n v="292.87"/>
    <x v="0"/>
  </r>
  <r>
    <d v="2023-01-30T00:00:00"/>
    <x v="4"/>
    <x v="19"/>
    <x v="1"/>
    <x v="10"/>
    <n v="9"/>
    <x v="26"/>
    <x v="3"/>
    <n v="1493.93"/>
    <x v="1"/>
    <n v="1327.934"/>
    <x v="0"/>
  </r>
  <r>
    <d v="2023-01-31T00:00:00"/>
    <x v="4"/>
    <x v="18"/>
    <x v="1"/>
    <x v="10"/>
    <n v="1"/>
    <x v="27"/>
    <x v="0"/>
    <n v="94.91"/>
    <x v="2"/>
    <n v="94.91"/>
    <x v="0"/>
  </r>
  <r>
    <d v="2023-02-01T00:00:00"/>
    <x v="3"/>
    <x v="6"/>
    <x v="2"/>
    <x v="3"/>
    <n v="8"/>
    <x v="28"/>
    <x v="3"/>
    <n v="3293.91"/>
    <x v="1"/>
    <n v="2927.9179999999997"/>
    <x v="1"/>
  </r>
  <r>
    <d v="2023-02-01T00:00:00"/>
    <x v="1"/>
    <x v="1"/>
    <x v="1"/>
    <x v="10"/>
    <n v="7"/>
    <x v="29"/>
    <x v="2"/>
    <n v="2241.71"/>
    <x v="0"/>
    <n v="1681.2759999999998"/>
    <x v="1"/>
  </r>
  <r>
    <d v="2023-02-01T00:00:00"/>
    <x v="2"/>
    <x v="8"/>
    <x v="0"/>
    <x v="0"/>
    <n v="3"/>
    <x v="30"/>
    <x v="2"/>
    <n v="154.77000000000001"/>
    <x v="0"/>
    <n v="116.07600000000002"/>
    <x v="1"/>
  </r>
  <r>
    <d v="2023-02-04T00:00:00"/>
    <x v="0"/>
    <x v="15"/>
    <x v="3"/>
    <x v="8"/>
    <n v="8"/>
    <x v="31"/>
    <x v="4"/>
    <n v="464.31"/>
    <x v="1"/>
    <n v="309.52999999999997"/>
    <x v="1"/>
  </r>
  <r>
    <d v="2023-02-04T00:00:00"/>
    <x v="0"/>
    <x v="15"/>
    <x v="0"/>
    <x v="5"/>
    <n v="3"/>
    <x v="32"/>
    <x v="1"/>
    <n v="905.88"/>
    <x v="1"/>
    <n v="517.64699999999993"/>
    <x v="1"/>
  </r>
  <r>
    <d v="2023-02-05T00:00:00"/>
    <x v="0"/>
    <x v="4"/>
    <x v="1"/>
    <x v="4"/>
    <n v="9"/>
    <x v="33"/>
    <x v="2"/>
    <n v="1099.46"/>
    <x v="2"/>
    <n v="824.6"/>
    <x v="1"/>
  </r>
  <r>
    <d v="2023-02-06T00:00:00"/>
    <x v="4"/>
    <x v="16"/>
    <x v="3"/>
    <x v="11"/>
    <n v="6"/>
    <x v="34"/>
    <x v="4"/>
    <n v="46.72"/>
    <x v="0"/>
    <n v="31.15"/>
    <x v="1"/>
  </r>
  <r>
    <d v="2023-02-07T00:00:00"/>
    <x v="0"/>
    <x v="15"/>
    <x v="1"/>
    <x v="4"/>
    <n v="1"/>
    <x v="35"/>
    <x v="0"/>
    <n v="50.62"/>
    <x v="0"/>
    <n v="50.62"/>
    <x v="1"/>
  </r>
  <r>
    <d v="2023-02-08T00:00:00"/>
    <x v="4"/>
    <x v="18"/>
    <x v="0"/>
    <x v="9"/>
    <n v="5"/>
    <x v="36"/>
    <x v="1"/>
    <n v="930.65"/>
    <x v="2"/>
    <n v="531.79999999999995"/>
    <x v="1"/>
  </r>
  <r>
    <d v="2023-02-12T00:00:00"/>
    <x v="2"/>
    <x v="2"/>
    <x v="2"/>
    <x v="2"/>
    <n v="2"/>
    <x v="37"/>
    <x v="1"/>
    <n v="445.45"/>
    <x v="2"/>
    <n v="254.542"/>
    <x v="1"/>
  </r>
  <r>
    <d v="2023-02-12T00:00:00"/>
    <x v="3"/>
    <x v="12"/>
    <x v="3"/>
    <x v="11"/>
    <n v="9"/>
    <x v="38"/>
    <x v="0"/>
    <n v="3633.35"/>
    <x v="2"/>
    <n v="3633.35"/>
    <x v="1"/>
  </r>
  <r>
    <d v="2023-02-13T00:00:00"/>
    <x v="4"/>
    <x v="20"/>
    <x v="0"/>
    <x v="9"/>
    <n v="4"/>
    <x v="39"/>
    <x v="0"/>
    <n v="488.14"/>
    <x v="2"/>
    <n v="488.14"/>
    <x v="1"/>
  </r>
  <r>
    <d v="2023-02-13T00:00:00"/>
    <x v="0"/>
    <x v="0"/>
    <x v="3"/>
    <x v="7"/>
    <n v="6"/>
    <x v="40"/>
    <x v="1"/>
    <n v="1055.81"/>
    <x v="0"/>
    <n v="603.32600000000002"/>
    <x v="1"/>
  </r>
  <r>
    <d v="2023-02-14T00:00:00"/>
    <x v="2"/>
    <x v="10"/>
    <x v="0"/>
    <x v="9"/>
    <n v="7"/>
    <x v="41"/>
    <x v="3"/>
    <n v="837.41"/>
    <x v="0"/>
    <n v="744.36599999999999"/>
    <x v="1"/>
  </r>
  <r>
    <d v="2023-02-15T00:00:00"/>
    <x v="1"/>
    <x v="9"/>
    <x v="3"/>
    <x v="8"/>
    <n v="1"/>
    <x v="42"/>
    <x v="4"/>
    <n v="66.900000000000006"/>
    <x v="0"/>
    <n v="44.600000000000009"/>
    <x v="1"/>
  </r>
  <r>
    <d v="2023-02-16T00:00:00"/>
    <x v="2"/>
    <x v="8"/>
    <x v="1"/>
    <x v="1"/>
    <n v="7"/>
    <x v="43"/>
    <x v="3"/>
    <n v="1378.34"/>
    <x v="1"/>
    <n v="1225.194"/>
    <x v="1"/>
  </r>
  <r>
    <d v="2023-02-20T00:00:00"/>
    <x v="2"/>
    <x v="2"/>
    <x v="0"/>
    <x v="0"/>
    <n v="3"/>
    <x v="44"/>
    <x v="4"/>
    <n v="787.58"/>
    <x v="2"/>
    <n v="525.05750000000012"/>
    <x v="1"/>
  </r>
  <r>
    <d v="2023-02-20T00:00:00"/>
    <x v="2"/>
    <x v="13"/>
    <x v="1"/>
    <x v="1"/>
    <n v="5"/>
    <x v="45"/>
    <x v="1"/>
    <n v="819.21"/>
    <x v="2"/>
    <n v="468.12000000000006"/>
    <x v="1"/>
  </r>
  <r>
    <d v="2023-02-22T00:00:00"/>
    <x v="2"/>
    <x v="8"/>
    <x v="0"/>
    <x v="5"/>
    <n v="4"/>
    <x v="46"/>
    <x v="0"/>
    <n v="940.32"/>
    <x v="2"/>
    <n v="940.32"/>
    <x v="1"/>
  </r>
  <r>
    <d v="2023-02-23T00:00:00"/>
    <x v="2"/>
    <x v="2"/>
    <x v="0"/>
    <x v="9"/>
    <n v="9"/>
    <x v="47"/>
    <x v="4"/>
    <n v="416.42"/>
    <x v="2"/>
    <n v="277.61750000000001"/>
    <x v="1"/>
  </r>
  <r>
    <d v="2023-02-24T00:00:00"/>
    <x v="2"/>
    <x v="8"/>
    <x v="1"/>
    <x v="4"/>
    <n v="5"/>
    <x v="48"/>
    <x v="1"/>
    <n v="109.43"/>
    <x v="2"/>
    <n v="62.525000000000013"/>
    <x v="1"/>
  </r>
  <r>
    <d v="2023-02-25T00:00:00"/>
    <x v="1"/>
    <x v="1"/>
    <x v="3"/>
    <x v="8"/>
    <n v="8"/>
    <x v="49"/>
    <x v="4"/>
    <n v="2181.4899999999998"/>
    <x v="0"/>
    <n v="1454.33"/>
    <x v="1"/>
  </r>
  <r>
    <d v="2023-03-01T00:00:00"/>
    <x v="4"/>
    <x v="20"/>
    <x v="3"/>
    <x v="11"/>
    <n v="1"/>
    <x v="50"/>
    <x v="1"/>
    <n v="102.96"/>
    <x v="2"/>
    <n v="58.835999999999991"/>
    <x v="2"/>
  </r>
  <r>
    <d v="2023-03-02T00:00:00"/>
    <x v="4"/>
    <x v="21"/>
    <x v="3"/>
    <x v="8"/>
    <n v="10"/>
    <x v="51"/>
    <x v="1"/>
    <n v="1931.27"/>
    <x v="0"/>
    <n v="1103.5700000000002"/>
    <x v="2"/>
  </r>
  <r>
    <d v="2023-03-04T00:00:00"/>
    <x v="4"/>
    <x v="19"/>
    <x v="2"/>
    <x v="3"/>
    <n v="4"/>
    <x v="52"/>
    <x v="2"/>
    <n v="1194.6099999999999"/>
    <x v="2"/>
    <n v="895.95399999999995"/>
    <x v="2"/>
  </r>
  <r>
    <d v="2023-03-04T00:00:00"/>
    <x v="4"/>
    <x v="21"/>
    <x v="0"/>
    <x v="5"/>
    <n v="8"/>
    <x v="53"/>
    <x v="0"/>
    <n v="3254.71"/>
    <x v="0"/>
    <n v="3254.71"/>
    <x v="2"/>
  </r>
  <r>
    <d v="2023-03-05T00:00:00"/>
    <x v="4"/>
    <x v="20"/>
    <x v="1"/>
    <x v="4"/>
    <n v="10"/>
    <x v="54"/>
    <x v="2"/>
    <n v="2087.4"/>
    <x v="2"/>
    <n v="1565.54"/>
    <x v="2"/>
  </r>
  <r>
    <d v="2023-03-05T00:00:00"/>
    <x v="4"/>
    <x v="18"/>
    <x v="3"/>
    <x v="7"/>
    <n v="6"/>
    <x v="55"/>
    <x v="0"/>
    <n v="1646.96"/>
    <x v="1"/>
    <n v="1646.96"/>
    <x v="2"/>
  </r>
  <r>
    <d v="2023-03-08T00:00:00"/>
    <x v="4"/>
    <x v="19"/>
    <x v="0"/>
    <x v="5"/>
    <n v="7"/>
    <x v="56"/>
    <x v="3"/>
    <n v="1703.02"/>
    <x v="0"/>
    <n v="1513.796"/>
    <x v="2"/>
  </r>
  <r>
    <d v="2023-03-08T00:00:00"/>
    <x v="2"/>
    <x v="8"/>
    <x v="1"/>
    <x v="4"/>
    <n v="4"/>
    <x v="57"/>
    <x v="4"/>
    <n v="509.16"/>
    <x v="2"/>
    <n v="339.44000000000005"/>
    <x v="2"/>
  </r>
  <r>
    <d v="2023-03-08T00:00:00"/>
    <x v="3"/>
    <x v="22"/>
    <x v="0"/>
    <x v="5"/>
    <n v="5"/>
    <x v="58"/>
    <x v="3"/>
    <n v="2087.4899999999998"/>
    <x v="1"/>
    <n v="1855.5449999999998"/>
    <x v="2"/>
  </r>
  <r>
    <d v="2023-03-08T00:00:00"/>
    <x v="2"/>
    <x v="5"/>
    <x v="0"/>
    <x v="9"/>
    <n v="5"/>
    <x v="59"/>
    <x v="2"/>
    <n v="1140.0999999999999"/>
    <x v="1"/>
    <n v="855.06999999999994"/>
    <x v="2"/>
  </r>
  <r>
    <d v="2023-03-09T00:00:00"/>
    <x v="4"/>
    <x v="18"/>
    <x v="0"/>
    <x v="5"/>
    <n v="2"/>
    <x v="60"/>
    <x v="3"/>
    <n v="52.37"/>
    <x v="2"/>
    <n v="46.552"/>
    <x v="2"/>
  </r>
  <r>
    <d v="2023-03-09T00:00:00"/>
    <x v="0"/>
    <x v="4"/>
    <x v="0"/>
    <x v="0"/>
    <n v="8"/>
    <x v="61"/>
    <x v="0"/>
    <n v="2913.75"/>
    <x v="2"/>
    <n v="2913.75"/>
    <x v="2"/>
  </r>
  <r>
    <d v="2023-03-10T00:00:00"/>
    <x v="2"/>
    <x v="8"/>
    <x v="2"/>
    <x v="3"/>
    <n v="6"/>
    <x v="62"/>
    <x v="0"/>
    <n v="320.79000000000002"/>
    <x v="0"/>
    <n v="320.79000000000002"/>
    <x v="2"/>
  </r>
  <r>
    <d v="2023-03-10T00:00:00"/>
    <x v="0"/>
    <x v="23"/>
    <x v="0"/>
    <x v="9"/>
    <n v="10"/>
    <x v="63"/>
    <x v="1"/>
    <n v="157.19"/>
    <x v="2"/>
    <n v="89.809999999999988"/>
    <x v="2"/>
  </r>
  <r>
    <d v="2023-03-12T00:00:00"/>
    <x v="2"/>
    <x v="10"/>
    <x v="1"/>
    <x v="1"/>
    <n v="4"/>
    <x v="64"/>
    <x v="4"/>
    <n v="908.91"/>
    <x v="1"/>
    <n v="605.93999999999994"/>
    <x v="2"/>
  </r>
  <r>
    <d v="2023-03-14T00:00:00"/>
    <x v="4"/>
    <x v="21"/>
    <x v="3"/>
    <x v="8"/>
    <n v="10"/>
    <x v="65"/>
    <x v="3"/>
    <n v="2675.27"/>
    <x v="1"/>
    <n v="2378.02"/>
    <x v="2"/>
  </r>
  <r>
    <d v="2023-03-15T00:00:00"/>
    <x v="2"/>
    <x v="10"/>
    <x v="0"/>
    <x v="5"/>
    <n v="2"/>
    <x v="66"/>
    <x v="2"/>
    <n v="113.45"/>
    <x v="1"/>
    <n v="85.085999999999999"/>
    <x v="2"/>
  </r>
  <r>
    <d v="2023-03-15T00:00:00"/>
    <x v="2"/>
    <x v="5"/>
    <x v="2"/>
    <x v="2"/>
    <n v="2"/>
    <x v="67"/>
    <x v="2"/>
    <n v="613.77"/>
    <x v="2"/>
    <n v="460.32999999999993"/>
    <x v="2"/>
  </r>
  <r>
    <d v="2023-03-16T00:00:00"/>
    <x v="2"/>
    <x v="2"/>
    <x v="0"/>
    <x v="9"/>
    <n v="1"/>
    <x v="68"/>
    <x v="1"/>
    <n v="95.58"/>
    <x v="2"/>
    <n v="54.618000000000002"/>
    <x v="2"/>
  </r>
  <r>
    <d v="2023-03-16T00:00:00"/>
    <x v="1"/>
    <x v="9"/>
    <x v="0"/>
    <x v="9"/>
    <n v="10"/>
    <x v="69"/>
    <x v="4"/>
    <n v="3697.27"/>
    <x v="2"/>
    <n v="2464.8449999999998"/>
    <x v="2"/>
  </r>
  <r>
    <d v="2023-03-17T00:00:00"/>
    <x v="3"/>
    <x v="7"/>
    <x v="2"/>
    <x v="3"/>
    <n v="10"/>
    <x v="70"/>
    <x v="2"/>
    <n v="1618.38"/>
    <x v="0"/>
    <n v="1213.7800000000002"/>
    <x v="2"/>
  </r>
  <r>
    <d v="2023-03-17T00:00:00"/>
    <x v="2"/>
    <x v="5"/>
    <x v="1"/>
    <x v="10"/>
    <n v="8"/>
    <x v="71"/>
    <x v="1"/>
    <n v="708.08"/>
    <x v="2"/>
    <n v="404.62400000000008"/>
    <x v="2"/>
  </r>
  <r>
    <d v="2023-03-17T00:00:00"/>
    <x v="0"/>
    <x v="15"/>
    <x v="2"/>
    <x v="2"/>
    <n v="5"/>
    <x v="72"/>
    <x v="1"/>
    <n v="241.08"/>
    <x v="0"/>
    <n v="137.76000000000002"/>
    <x v="2"/>
  </r>
  <r>
    <d v="2023-03-17T00:00:00"/>
    <x v="4"/>
    <x v="16"/>
    <x v="1"/>
    <x v="4"/>
    <n v="10"/>
    <x v="73"/>
    <x v="4"/>
    <n v="1501.89"/>
    <x v="2"/>
    <n v="1001.2650000000001"/>
    <x v="2"/>
  </r>
  <r>
    <d v="2023-03-18T00:00:00"/>
    <x v="4"/>
    <x v="16"/>
    <x v="2"/>
    <x v="3"/>
    <n v="6"/>
    <x v="74"/>
    <x v="4"/>
    <n v="503.51"/>
    <x v="0"/>
    <n v="335.67499999999995"/>
    <x v="2"/>
  </r>
  <r>
    <d v="2023-03-19T00:00:00"/>
    <x v="3"/>
    <x v="12"/>
    <x v="0"/>
    <x v="9"/>
    <n v="5"/>
    <x v="75"/>
    <x v="2"/>
    <n v="1949.81"/>
    <x v="0"/>
    <n v="1462.36"/>
    <x v="2"/>
  </r>
  <r>
    <d v="2023-03-20T00:00:00"/>
    <x v="4"/>
    <x v="18"/>
    <x v="1"/>
    <x v="10"/>
    <n v="8"/>
    <x v="76"/>
    <x v="4"/>
    <n v="589.4"/>
    <x v="1"/>
    <n v="392.93999999999994"/>
    <x v="2"/>
  </r>
  <r>
    <d v="2023-03-21T00:00:00"/>
    <x v="2"/>
    <x v="2"/>
    <x v="2"/>
    <x v="2"/>
    <n v="7"/>
    <x v="77"/>
    <x v="4"/>
    <n v="2239.2199999999998"/>
    <x v="2"/>
    <n v="1492.81"/>
    <x v="2"/>
  </r>
  <r>
    <d v="2023-03-22T00:00:00"/>
    <x v="4"/>
    <x v="21"/>
    <x v="1"/>
    <x v="4"/>
    <n v="4"/>
    <x v="78"/>
    <x v="2"/>
    <n v="1510.39"/>
    <x v="2"/>
    <n v="1132.79"/>
    <x v="2"/>
  </r>
  <r>
    <d v="2023-03-23T00:00:00"/>
    <x v="2"/>
    <x v="13"/>
    <x v="3"/>
    <x v="8"/>
    <n v="2"/>
    <x v="79"/>
    <x v="4"/>
    <n v="606.71"/>
    <x v="2"/>
    <n v="404.47500000000002"/>
    <x v="2"/>
  </r>
  <r>
    <d v="2023-03-23T00:00:00"/>
    <x v="4"/>
    <x v="20"/>
    <x v="1"/>
    <x v="1"/>
    <n v="6"/>
    <x v="80"/>
    <x v="3"/>
    <n v="2383.7199999999998"/>
    <x v="0"/>
    <n v="2118.8619999999996"/>
    <x v="2"/>
  </r>
  <r>
    <d v="2023-03-24T00:00:00"/>
    <x v="1"/>
    <x v="11"/>
    <x v="2"/>
    <x v="6"/>
    <n v="6"/>
    <x v="81"/>
    <x v="4"/>
    <n v="587.34"/>
    <x v="0"/>
    <n v="391.56"/>
    <x v="2"/>
  </r>
  <r>
    <d v="2023-03-26T00:00:00"/>
    <x v="1"/>
    <x v="9"/>
    <x v="3"/>
    <x v="7"/>
    <n v="5"/>
    <x v="82"/>
    <x v="0"/>
    <n v="1487.54"/>
    <x v="2"/>
    <n v="1487.54"/>
    <x v="2"/>
  </r>
  <r>
    <d v="2023-03-27T00:00:00"/>
    <x v="3"/>
    <x v="12"/>
    <x v="1"/>
    <x v="10"/>
    <n v="7"/>
    <x v="83"/>
    <x v="2"/>
    <n v="440.39"/>
    <x v="2"/>
    <n v="330.29399999999998"/>
    <x v="2"/>
  </r>
  <r>
    <d v="2023-03-27T00:00:00"/>
    <x v="4"/>
    <x v="21"/>
    <x v="3"/>
    <x v="11"/>
    <n v="10"/>
    <x v="84"/>
    <x v="0"/>
    <n v="4315.9799999999996"/>
    <x v="2"/>
    <n v="4315.9799999999996"/>
    <x v="2"/>
  </r>
  <r>
    <d v="2023-03-28T00:00:00"/>
    <x v="0"/>
    <x v="4"/>
    <x v="2"/>
    <x v="2"/>
    <n v="9"/>
    <x v="85"/>
    <x v="0"/>
    <n v="2396.86"/>
    <x v="1"/>
    <n v="2396.86"/>
    <x v="2"/>
  </r>
  <r>
    <d v="2023-03-29T00:00:00"/>
    <x v="1"/>
    <x v="14"/>
    <x v="0"/>
    <x v="0"/>
    <n v="7"/>
    <x v="86"/>
    <x v="0"/>
    <n v="668.08"/>
    <x v="2"/>
    <n v="668.08"/>
    <x v="2"/>
  </r>
  <r>
    <d v="2023-04-01T00:00:00"/>
    <x v="1"/>
    <x v="24"/>
    <x v="1"/>
    <x v="4"/>
    <n v="10"/>
    <x v="87"/>
    <x v="1"/>
    <n v="1788.57"/>
    <x v="0"/>
    <n v="1022.04"/>
    <x v="3"/>
  </r>
  <r>
    <d v="2023-04-02T00:00:00"/>
    <x v="0"/>
    <x v="3"/>
    <x v="0"/>
    <x v="5"/>
    <n v="7"/>
    <x v="88"/>
    <x v="3"/>
    <n v="1757.52"/>
    <x v="0"/>
    <n v="1562.241"/>
    <x v="3"/>
  </r>
  <r>
    <d v="2023-04-02T00:00:00"/>
    <x v="1"/>
    <x v="1"/>
    <x v="3"/>
    <x v="7"/>
    <n v="6"/>
    <x v="89"/>
    <x v="3"/>
    <n v="944.65"/>
    <x v="0"/>
    <n v="839.68599999999992"/>
    <x v="3"/>
  </r>
  <r>
    <d v="2023-04-03T00:00:00"/>
    <x v="2"/>
    <x v="2"/>
    <x v="0"/>
    <x v="0"/>
    <n v="9"/>
    <x v="90"/>
    <x v="2"/>
    <n v="2754.08"/>
    <x v="0"/>
    <n v="2065.5619999999999"/>
    <x v="3"/>
  </r>
  <r>
    <d v="2023-04-04T00:00:00"/>
    <x v="1"/>
    <x v="14"/>
    <x v="0"/>
    <x v="5"/>
    <n v="5"/>
    <x v="91"/>
    <x v="3"/>
    <n v="1868.09"/>
    <x v="0"/>
    <n v="1660.5249999999999"/>
    <x v="3"/>
  </r>
  <r>
    <d v="2023-04-05T00:00:00"/>
    <x v="3"/>
    <x v="12"/>
    <x v="3"/>
    <x v="11"/>
    <n v="3"/>
    <x v="92"/>
    <x v="0"/>
    <n v="887.55"/>
    <x v="2"/>
    <n v="887.55"/>
    <x v="3"/>
  </r>
  <r>
    <d v="2023-04-05T00:00:00"/>
    <x v="0"/>
    <x v="23"/>
    <x v="0"/>
    <x v="0"/>
    <n v="9"/>
    <x v="93"/>
    <x v="0"/>
    <n v="1755.78"/>
    <x v="0"/>
    <n v="1755.78"/>
    <x v="3"/>
  </r>
  <r>
    <d v="2023-04-05T00:00:00"/>
    <x v="2"/>
    <x v="8"/>
    <x v="2"/>
    <x v="2"/>
    <n v="1"/>
    <x v="94"/>
    <x v="4"/>
    <n v="14.16"/>
    <x v="2"/>
    <n v="9.442499999999999"/>
    <x v="3"/>
  </r>
  <r>
    <d v="2023-04-06T00:00:00"/>
    <x v="4"/>
    <x v="16"/>
    <x v="2"/>
    <x v="6"/>
    <n v="1"/>
    <x v="95"/>
    <x v="3"/>
    <n v="405.71"/>
    <x v="0"/>
    <n v="360.63099999999997"/>
    <x v="3"/>
  </r>
  <r>
    <d v="2023-04-08T00:00:00"/>
    <x v="0"/>
    <x v="15"/>
    <x v="0"/>
    <x v="0"/>
    <n v="10"/>
    <x v="96"/>
    <x v="2"/>
    <n v="3304.59"/>
    <x v="2"/>
    <n v="2478.4500000000003"/>
    <x v="3"/>
  </r>
  <r>
    <d v="2023-04-08T00:00:00"/>
    <x v="0"/>
    <x v="4"/>
    <x v="1"/>
    <x v="1"/>
    <n v="4"/>
    <x v="97"/>
    <x v="3"/>
    <n v="970.3"/>
    <x v="1"/>
    <n v="862.48799999999994"/>
    <x v="3"/>
  </r>
  <r>
    <d v="2023-04-09T00:00:00"/>
    <x v="0"/>
    <x v="15"/>
    <x v="0"/>
    <x v="0"/>
    <n v="4"/>
    <x v="98"/>
    <x v="1"/>
    <n v="1161.9000000000001"/>
    <x v="2"/>
    <n v="663.94800000000009"/>
    <x v="3"/>
  </r>
  <r>
    <d v="2023-04-09T00:00:00"/>
    <x v="1"/>
    <x v="11"/>
    <x v="1"/>
    <x v="4"/>
    <n v="1"/>
    <x v="99"/>
    <x v="1"/>
    <n v="334.52"/>
    <x v="0"/>
    <n v="191.15599999999998"/>
    <x v="3"/>
  </r>
  <r>
    <d v="2023-04-10T00:00:00"/>
    <x v="1"/>
    <x v="11"/>
    <x v="0"/>
    <x v="9"/>
    <n v="8"/>
    <x v="100"/>
    <x v="2"/>
    <n v="81.319999999999993"/>
    <x v="2"/>
    <n v="60.983999999999995"/>
    <x v="3"/>
  </r>
  <r>
    <d v="2023-04-11T00:00:00"/>
    <x v="0"/>
    <x v="23"/>
    <x v="1"/>
    <x v="10"/>
    <n v="6"/>
    <x v="101"/>
    <x v="1"/>
    <n v="1590.45"/>
    <x v="0"/>
    <n v="908.82600000000014"/>
    <x v="3"/>
  </r>
  <r>
    <d v="2023-04-11T00:00:00"/>
    <x v="4"/>
    <x v="18"/>
    <x v="0"/>
    <x v="9"/>
    <n v="6"/>
    <x v="102"/>
    <x v="2"/>
    <n v="2258.4899999999998"/>
    <x v="2"/>
    <n v="1693.8659999999998"/>
    <x v="3"/>
  </r>
  <r>
    <d v="2023-04-11T00:00:00"/>
    <x v="2"/>
    <x v="8"/>
    <x v="3"/>
    <x v="11"/>
    <n v="5"/>
    <x v="103"/>
    <x v="2"/>
    <n v="491.16"/>
    <x v="2"/>
    <n v="368.37"/>
    <x v="3"/>
  </r>
  <r>
    <d v="2023-04-13T00:00:00"/>
    <x v="1"/>
    <x v="24"/>
    <x v="0"/>
    <x v="0"/>
    <n v="1"/>
    <x v="104"/>
    <x v="0"/>
    <n v="343.12"/>
    <x v="2"/>
    <n v="343.12"/>
    <x v="3"/>
  </r>
  <r>
    <d v="2023-04-13T00:00:00"/>
    <x v="3"/>
    <x v="22"/>
    <x v="1"/>
    <x v="1"/>
    <n v="3"/>
    <x v="105"/>
    <x v="4"/>
    <n v="395.14"/>
    <x v="2"/>
    <n v="263.42499999999995"/>
    <x v="3"/>
  </r>
  <r>
    <d v="2023-04-13T00:00:00"/>
    <x v="4"/>
    <x v="19"/>
    <x v="2"/>
    <x v="6"/>
    <n v="8"/>
    <x v="106"/>
    <x v="4"/>
    <n v="2721.73"/>
    <x v="0"/>
    <n v="1814.49"/>
    <x v="3"/>
  </r>
  <r>
    <d v="2023-04-15T00:00:00"/>
    <x v="4"/>
    <x v="21"/>
    <x v="3"/>
    <x v="7"/>
    <n v="8"/>
    <x v="107"/>
    <x v="2"/>
    <n v="2813.21"/>
    <x v="0"/>
    <n v="2109.9139999999998"/>
    <x v="3"/>
  </r>
  <r>
    <d v="2023-04-15T00:00:00"/>
    <x v="4"/>
    <x v="21"/>
    <x v="3"/>
    <x v="7"/>
    <n v="3"/>
    <x v="108"/>
    <x v="1"/>
    <n v="158.72999999999999"/>
    <x v="0"/>
    <n v="90.698999999999984"/>
    <x v="3"/>
  </r>
  <r>
    <d v="2023-04-15T00:00:00"/>
    <x v="1"/>
    <x v="24"/>
    <x v="1"/>
    <x v="4"/>
    <n v="9"/>
    <x v="109"/>
    <x v="4"/>
    <n v="3012.92"/>
    <x v="1"/>
    <n v="2008.6100000000001"/>
    <x v="3"/>
  </r>
  <r>
    <d v="2023-04-16T00:00:00"/>
    <x v="3"/>
    <x v="7"/>
    <x v="1"/>
    <x v="1"/>
    <n v="7"/>
    <x v="110"/>
    <x v="0"/>
    <n v="1865.96"/>
    <x v="0"/>
    <n v="1865.96"/>
    <x v="3"/>
  </r>
  <r>
    <d v="2023-04-20T00:00:00"/>
    <x v="2"/>
    <x v="10"/>
    <x v="3"/>
    <x v="7"/>
    <n v="9"/>
    <x v="111"/>
    <x v="3"/>
    <n v="3034.93"/>
    <x v="2"/>
    <n v="2697.7179999999998"/>
    <x v="3"/>
  </r>
  <r>
    <d v="2023-04-21T00:00:00"/>
    <x v="2"/>
    <x v="13"/>
    <x v="2"/>
    <x v="6"/>
    <n v="7"/>
    <x v="112"/>
    <x v="4"/>
    <n v="1154.3399999999999"/>
    <x v="0"/>
    <n v="769.56749999999988"/>
    <x v="3"/>
  </r>
  <r>
    <d v="2023-04-22T00:00:00"/>
    <x v="1"/>
    <x v="1"/>
    <x v="2"/>
    <x v="6"/>
    <n v="4"/>
    <x v="113"/>
    <x v="1"/>
    <n v="1117.4000000000001"/>
    <x v="1"/>
    <n v="638.51600000000008"/>
    <x v="3"/>
  </r>
  <r>
    <d v="2023-04-22T00:00:00"/>
    <x v="4"/>
    <x v="18"/>
    <x v="0"/>
    <x v="5"/>
    <n v="8"/>
    <x v="114"/>
    <x v="1"/>
    <n v="2373.4"/>
    <x v="2"/>
    <n v="1356.2320000000002"/>
    <x v="3"/>
  </r>
  <r>
    <d v="2023-04-23T00:00:00"/>
    <x v="3"/>
    <x v="7"/>
    <x v="2"/>
    <x v="6"/>
    <n v="3"/>
    <x v="115"/>
    <x v="2"/>
    <n v="1067.94"/>
    <x v="2"/>
    <n v="800.952"/>
    <x v="3"/>
  </r>
  <r>
    <d v="2023-04-26T00:00:00"/>
    <x v="4"/>
    <x v="20"/>
    <x v="1"/>
    <x v="4"/>
    <n v="3"/>
    <x v="116"/>
    <x v="4"/>
    <n v="1019.33"/>
    <x v="1"/>
    <n v="679.55"/>
    <x v="3"/>
  </r>
  <r>
    <d v="2023-04-27T00:00:00"/>
    <x v="0"/>
    <x v="0"/>
    <x v="0"/>
    <x v="0"/>
    <n v="6"/>
    <x v="117"/>
    <x v="3"/>
    <n v="1919.65"/>
    <x v="2"/>
    <n v="1706.356"/>
    <x v="3"/>
  </r>
  <r>
    <d v="2023-04-27T00:00:00"/>
    <x v="2"/>
    <x v="10"/>
    <x v="0"/>
    <x v="0"/>
    <n v="7"/>
    <x v="118"/>
    <x v="3"/>
    <n v="210.3"/>
    <x v="2"/>
    <n v="186.934"/>
    <x v="3"/>
  </r>
  <r>
    <d v="2023-04-28T00:00:00"/>
    <x v="0"/>
    <x v="0"/>
    <x v="0"/>
    <x v="5"/>
    <n v="2"/>
    <x v="119"/>
    <x v="3"/>
    <n v="804.65"/>
    <x v="0"/>
    <n v="715.24399999999991"/>
    <x v="3"/>
  </r>
  <r>
    <d v="2023-04-28T00:00:00"/>
    <x v="3"/>
    <x v="6"/>
    <x v="1"/>
    <x v="10"/>
    <n v="10"/>
    <x v="120"/>
    <x v="1"/>
    <n v="2190.4899999999998"/>
    <x v="0"/>
    <n v="1251.6999999999998"/>
    <x v="3"/>
  </r>
  <r>
    <d v="2023-05-01T00:00:00"/>
    <x v="3"/>
    <x v="22"/>
    <x v="2"/>
    <x v="6"/>
    <n v="9"/>
    <x v="121"/>
    <x v="0"/>
    <n v="3825.9"/>
    <x v="2"/>
    <n v="3825.9"/>
    <x v="4"/>
  </r>
  <r>
    <d v="2023-05-02T00:00:00"/>
    <x v="4"/>
    <x v="18"/>
    <x v="1"/>
    <x v="1"/>
    <n v="2"/>
    <x v="122"/>
    <x v="4"/>
    <n v="517.91"/>
    <x v="2"/>
    <n v="345.27499999999998"/>
    <x v="4"/>
  </r>
  <r>
    <d v="2023-05-03T00:00:00"/>
    <x v="0"/>
    <x v="4"/>
    <x v="2"/>
    <x v="2"/>
    <n v="2"/>
    <x v="123"/>
    <x v="3"/>
    <n v="431.36"/>
    <x v="2"/>
    <n v="383.43200000000002"/>
    <x v="4"/>
  </r>
  <r>
    <d v="2023-05-04T00:00:00"/>
    <x v="1"/>
    <x v="11"/>
    <x v="1"/>
    <x v="1"/>
    <n v="5"/>
    <x v="124"/>
    <x v="2"/>
    <n v="1523.88"/>
    <x v="1"/>
    <n v="1142.9100000000001"/>
    <x v="4"/>
  </r>
  <r>
    <d v="2023-05-05T00:00:00"/>
    <x v="0"/>
    <x v="0"/>
    <x v="1"/>
    <x v="1"/>
    <n v="9"/>
    <x v="125"/>
    <x v="1"/>
    <n v="1053.25"/>
    <x v="2"/>
    <n v="601.86400000000003"/>
    <x v="4"/>
  </r>
  <r>
    <d v="2023-05-07T00:00:00"/>
    <x v="0"/>
    <x v="4"/>
    <x v="2"/>
    <x v="3"/>
    <n v="2"/>
    <x v="126"/>
    <x v="3"/>
    <n v="94.66"/>
    <x v="1"/>
    <n v="84.141999999999996"/>
    <x v="4"/>
  </r>
  <r>
    <d v="2023-05-08T00:00:00"/>
    <x v="4"/>
    <x v="18"/>
    <x v="1"/>
    <x v="4"/>
    <n v="8"/>
    <x v="127"/>
    <x v="2"/>
    <n v="2876.26"/>
    <x v="2"/>
    <n v="2157.1880000000001"/>
    <x v="4"/>
  </r>
  <r>
    <d v="2023-05-12T00:00:00"/>
    <x v="4"/>
    <x v="19"/>
    <x v="0"/>
    <x v="5"/>
    <n v="9"/>
    <x v="128"/>
    <x v="0"/>
    <n v="110.43"/>
    <x v="2"/>
    <n v="110.43"/>
    <x v="4"/>
  </r>
  <r>
    <d v="2023-05-13T00:00:00"/>
    <x v="4"/>
    <x v="16"/>
    <x v="0"/>
    <x v="0"/>
    <n v="6"/>
    <x v="129"/>
    <x v="1"/>
    <n v="781.83"/>
    <x v="2"/>
    <n v="446.76000000000005"/>
    <x v="4"/>
  </r>
  <r>
    <d v="2023-05-13T00:00:00"/>
    <x v="3"/>
    <x v="17"/>
    <x v="3"/>
    <x v="7"/>
    <n v="7"/>
    <x v="130"/>
    <x v="1"/>
    <n v="1190.3599999999999"/>
    <x v="2"/>
    <n v="680.20699999999988"/>
    <x v="4"/>
  </r>
  <r>
    <d v="2023-05-14T00:00:00"/>
    <x v="0"/>
    <x v="23"/>
    <x v="0"/>
    <x v="5"/>
    <n v="4"/>
    <x v="131"/>
    <x v="0"/>
    <n v="50.39"/>
    <x v="0"/>
    <n v="50.39"/>
    <x v="4"/>
  </r>
  <r>
    <d v="2023-05-16T00:00:00"/>
    <x v="2"/>
    <x v="2"/>
    <x v="0"/>
    <x v="5"/>
    <n v="3"/>
    <x v="132"/>
    <x v="0"/>
    <n v="1159.77"/>
    <x v="2"/>
    <n v="1159.77"/>
    <x v="4"/>
  </r>
  <r>
    <d v="2023-05-16T00:00:00"/>
    <x v="1"/>
    <x v="24"/>
    <x v="3"/>
    <x v="11"/>
    <n v="1"/>
    <x v="133"/>
    <x v="1"/>
    <n v="111.36"/>
    <x v="2"/>
    <n v="63.635999999999996"/>
    <x v="4"/>
  </r>
  <r>
    <d v="2023-05-17T00:00:00"/>
    <x v="1"/>
    <x v="9"/>
    <x v="3"/>
    <x v="7"/>
    <n v="6"/>
    <x v="134"/>
    <x v="0"/>
    <n v="2449.63"/>
    <x v="0"/>
    <n v="2449.63"/>
    <x v="4"/>
  </r>
  <r>
    <d v="2023-05-18T00:00:00"/>
    <x v="4"/>
    <x v="20"/>
    <x v="0"/>
    <x v="0"/>
    <n v="10"/>
    <x v="135"/>
    <x v="0"/>
    <n v="3482.93"/>
    <x v="2"/>
    <n v="3482.93"/>
    <x v="4"/>
  </r>
  <r>
    <d v="2023-05-18T00:00:00"/>
    <x v="1"/>
    <x v="11"/>
    <x v="2"/>
    <x v="3"/>
    <n v="3"/>
    <x v="136"/>
    <x v="0"/>
    <n v="279.14999999999998"/>
    <x v="2"/>
    <n v="279.14999999999998"/>
    <x v="4"/>
  </r>
  <r>
    <d v="2023-05-20T00:00:00"/>
    <x v="4"/>
    <x v="20"/>
    <x v="1"/>
    <x v="10"/>
    <n v="1"/>
    <x v="137"/>
    <x v="1"/>
    <n v="9.58"/>
    <x v="0"/>
    <n v="5.4730000000000008"/>
    <x v="4"/>
  </r>
  <r>
    <d v="2023-05-20T00:00:00"/>
    <x v="3"/>
    <x v="6"/>
    <x v="1"/>
    <x v="1"/>
    <n v="5"/>
    <x v="138"/>
    <x v="0"/>
    <n v="1153.83"/>
    <x v="2"/>
    <n v="1153.83"/>
    <x v="4"/>
  </r>
  <r>
    <d v="2023-05-26T00:00:00"/>
    <x v="0"/>
    <x v="15"/>
    <x v="3"/>
    <x v="11"/>
    <n v="5"/>
    <x v="139"/>
    <x v="3"/>
    <n v="1571.82"/>
    <x v="2"/>
    <n v="1397.175"/>
    <x v="4"/>
  </r>
  <r>
    <d v="2023-05-28T00:00:00"/>
    <x v="2"/>
    <x v="8"/>
    <x v="3"/>
    <x v="11"/>
    <n v="2"/>
    <x v="140"/>
    <x v="2"/>
    <n v="420.78"/>
    <x v="1"/>
    <n v="315.58399999999995"/>
    <x v="4"/>
  </r>
  <r>
    <d v="2023-05-29T00:00:00"/>
    <x v="1"/>
    <x v="9"/>
    <x v="3"/>
    <x v="11"/>
    <n v="4"/>
    <x v="141"/>
    <x v="3"/>
    <n v="1051.1400000000001"/>
    <x v="2"/>
    <n v="934.34800000000007"/>
    <x v="4"/>
  </r>
  <r>
    <d v="2023-05-29T00:00:00"/>
    <x v="4"/>
    <x v="19"/>
    <x v="1"/>
    <x v="1"/>
    <n v="2"/>
    <x v="142"/>
    <x v="1"/>
    <n v="358.84"/>
    <x v="1"/>
    <n v="205.05399999999997"/>
    <x v="4"/>
  </r>
  <r>
    <d v="2023-06-01T00:00:00"/>
    <x v="0"/>
    <x v="15"/>
    <x v="2"/>
    <x v="6"/>
    <n v="2"/>
    <x v="143"/>
    <x v="2"/>
    <n v="487.92"/>
    <x v="2"/>
    <n v="365.94"/>
    <x v="5"/>
  </r>
  <r>
    <d v="2023-06-02T00:00:00"/>
    <x v="2"/>
    <x v="10"/>
    <x v="2"/>
    <x v="6"/>
    <n v="5"/>
    <x v="144"/>
    <x v="2"/>
    <n v="1816.69"/>
    <x v="2"/>
    <n v="1362.52"/>
    <x v="5"/>
  </r>
  <r>
    <d v="2023-06-02T00:00:00"/>
    <x v="0"/>
    <x v="23"/>
    <x v="3"/>
    <x v="11"/>
    <n v="5"/>
    <x v="145"/>
    <x v="4"/>
    <n v="1819.71"/>
    <x v="0"/>
    <n v="1213.135"/>
    <x v="5"/>
  </r>
  <r>
    <d v="2023-06-04T00:00:00"/>
    <x v="1"/>
    <x v="14"/>
    <x v="1"/>
    <x v="4"/>
    <n v="5"/>
    <x v="146"/>
    <x v="3"/>
    <n v="1397.58"/>
    <x v="2"/>
    <n v="1242.2949999999998"/>
    <x v="5"/>
  </r>
  <r>
    <d v="2023-06-05T00:00:00"/>
    <x v="3"/>
    <x v="17"/>
    <x v="2"/>
    <x v="6"/>
    <n v="1"/>
    <x v="147"/>
    <x v="0"/>
    <n v="245.38"/>
    <x v="2"/>
    <n v="245.38"/>
    <x v="5"/>
  </r>
  <r>
    <d v="2023-06-07T00:00:00"/>
    <x v="3"/>
    <x v="17"/>
    <x v="2"/>
    <x v="6"/>
    <n v="7"/>
    <x v="148"/>
    <x v="1"/>
    <n v="1442.89"/>
    <x v="2"/>
    <n v="824.50300000000016"/>
    <x v="5"/>
  </r>
  <r>
    <d v="2023-06-09T00:00:00"/>
    <x v="3"/>
    <x v="6"/>
    <x v="3"/>
    <x v="8"/>
    <n v="3"/>
    <x v="149"/>
    <x v="3"/>
    <n v="271.12"/>
    <x v="2"/>
    <n v="240.994"/>
    <x v="5"/>
  </r>
  <r>
    <d v="2023-06-09T00:00:00"/>
    <x v="3"/>
    <x v="22"/>
    <x v="2"/>
    <x v="6"/>
    <n v="8"/>
    <x v="150"/>
    <x v="0"/>
    <n v="214.8"/>
    <x v="2"/>
    <n v="214.8"/>
    <x v="5"/>
  </r>
  <r>
    <d v="2023-06-13T00:00:00"/>
    <x v="1"/>
    <x v="24"/>
    <x v="3"/>
    <x v="7"/>
    <n v="6"/>
    <x v="151"/>
    <x v="3"/>
    <n v="1663"/>
    <x v="0"/>
    <n v="1478.2239999999999"/>
    <x v="5"/>
  </r>
  <r>
    <d v="2023-06-14T00:00:00"/>
    <x v="1"/>
    <x v="1"/>
    <x v="3"/>
    <x v="11"/>
    <n v="9"/>
    <x v="152"/>
    <x v="2"/>
    <n v="1769.48"/>
    <x v="0"/>
    <n v="1327.1120000000001"/>
    <x v="5"/>
  </r>
  <r>
    <d v="2023-06-14T00:00:00"/>
    <x v="0"/>
    <x v="4"/>
    <x v="3"/>
    <x v="7"/>
    <n v="1"/>
    <x v="153"/>
    <x v="0"/>
    <n v="145.66999999999999"/>
    <x v="1"/>
    <n v="145.66999999999999"/>
    <x v="5"/>
  </r>
  <r>
    <d v="2023-06-16T00:00:00"/>
    <x v="3"/>
    <x v="7"/>
    <x v="3"/>
    <x v="7"/>
    <n v="9"/>
    <x v="154"/>
    <x v="3"/>
    <n v="2049.77"/>
    <x v="0"/>
    <n v="1822.0160000000001"/>
    <x v="5"/>
  </r>
  <r>
    <d v="2023-06-16T00:00:00"/>
    <x v="1"/>
    <x v="24"/>
    <x v="1"/>
    <x v="1"/>
    <n v="5"/>
    <x v="155"/>
    <x v="4"/>
    <n v="1089.0899999999999"/>
    <x v="1"/>
    <n v="726.06499999999983"/>
    <x v="5"/>
  </r>
  <r>
    <d v="2023-06-18T00:00:00"/>
    <x v="1"/>
    <x v="11"/>
    <x v="0"/>
    <x v="9"/>
    <n v="8"/>
    <x v="156"/>
    <x v="1"/>
    <n v="1423.19"/>
    <x v="1"/>
    <n v="813.25400000000013"/>
    <x v="5"/>
  </r>
  <r>
    <d v="2023-06-21T00:00:00"/>
    <x v="0"/>
    <x v="4"/>
    <x v="1"/>
    <x v="1"/>
    <n v="1"/>
    <x v="157"/>
    <x v="1"/>
    <n v="42.3"/>
    <x v="2"/>
    <n v="24.170999999999999"/>
    <x v="5"/>
  </r>
  <r>
    <d v="2023-06-22T00:00:00"/>
    <x v="3"/>
    <x v="17"/>
    <x v="2"/>
    <x v="2"/>
    <n v="10"/>
    <x v="158"/>
    <x v="2"/>
    <n v="223.8"/>
    <x v="2"/>
    <n v="167.86"/>
    <x v="5"/>
  </r>
  <r>
    <d v="2023-06-24T00:00:00"/>
    <x v="2"/>
    <x v="13"/>
    <x v="3"/>
    <x v="7"/>
    <n v="4"/>
    <x v="159"/>
    <x v="2"/>
    <n v="534.77"/>
    <x v="1"/>
    <n v="401.08199999999999"/>
    <x v="5"/>
  </r>
  <r>
    <d v="2023-06-24T00:00:00"/>
    <x v="3"/>
    <x v="6"/>
    <x v="2"/>
    <x v="6"/>
    <n v="6"/>
    <x v="160"/>
    <x v="4"/>
    <n v="1039.26"/>
    <x v="0"/>
    <n v="692.83500000000004"/>
    <x v="5"/>
  </r>
  <r>
    <d v="2023-06-24T00:00:00"/>
    <x v="4"/>
    <x v="20"/>
    <x v="3"/>
    <x v="7"/>
    <n v="7"/>
    <x v="161"/>
    <x v="2"/>
    <n v="2582.79"/>
    <x v="0"/>
    <n v="1937.096"/>
    <x v="5"/>
  </r>
  <r>
    <d v="2023-06-25T00:00:00"/>
    <x v="0"/>
    <x v="23"/>
    <x v="3"/>
    <x v="8"/>
    <n v="1"/>
    <x v="162"/>
    <x v="3"/>
    <n v="37.619999999999997"/>
    <x v="2"/>
    <n v="33.44"/>
    <x v="5"/>
  </r>
  <r>
    <d v="2023-06-25T00:00:00"/>
    <x v="2"/>
    <x v="2"/>
    <x v="2"/>
    <x v="3"/>
    <n v="5"/>
    <x v="163"/>
    <x v="1"/>
    <n v="462.54"/>
    <x v="2"/>
    <n v="264.31500000000005"/>
    <x v="5"/>
  </r>
  <r>
    <d v="2023-06-26T00:00:00"/>
    <x v="3"/>
    <x v="6"/>
    <x v="1"/>
    <x v="10"/>
    <n v="1"/>
    <x v="164"/>
    <x v="3"/>
    <n v="114.65"/>
    <x v="0"/>
    <n v="101.911"/>
    <x v="5"/>
  </r>
  <r>
    <d v="2023-06-27T00:00:00"/>
    <x v="3"/>
    <x v="7"/>
    <x v="3"/>
    <x v="7"/>
    <n v="1"/>
    <x v="165"/>
    <x v="2"/>
    <n v="399.11"/>
    <x v="1"/>
    <n v="299.33199999999999"/>
    <x v="5"/>
  </r>
  <r>
    <d v="2023-06-27T00:00:00"/>
    <x v="1"/>
    <x v="11"/>
    <x v="2"/>
    <x v="3"/>
    <n v="5"/>
    <x v="166"/>
    <x v="0"/>
    <n v="2324.38"/>
    <x v="0"/>
    <n v="2324.38"/>
    <x v="5"/>
  </r>
  <r>
    <d v="2023-06-28T00:00:00"/>
    <x v="4"/>
    <x v="19"/>
    <x v="0"/>
    <x v="9"/>
    <n v="6"/>
    <x v="167"/>
    <x v="1"/>
    <n v="964.86"/>
    <x v="1"/>
    <n v="551.346"/>
    <x v="5"/>
  </r>
  <r>
    <d v="2023-06-28T00:00:00"/>
    <x v="4"/>
    <x v="21"/>
    <x v="2"/>
    <x v="6"/>
    <n v="3"/>
    <x v="168"/>
    <x v="2"/>
    <n v="164.64"/>
    <x v="1"/>
    <n v="123.47999999999999"/>
    <x v="5"/>
  </r>
  <r>
    <d v="2023-06-28T00:00:00"/>
    <x v="4"/>
    <x v="19"/>
    <x v="3"/>
    <x v="7"/>
    <n v="8"/>
    <x v="169"/>
    <x v="3"/>
    <n v="2530.88"/>
    <x v="2"/>
    <n v="2249.672"/>
    <x v="5"/>
  </r>
  <r>
    <d v="2023-06-28T00:00:00"/>
    <x v="0"/>
    <x v="3"/>
    <x v="2"/>
    <x v="2"/>
    <n v="3"/>
    <x v="170"/>
    <x v="3"/>
    <n v="572.89"/>
    <x v="1"/>
    <n v="509.23599999999999"/>
    <x v="5"/>
  </r>
  <r>
    <d v="2023-06-29T00:00:00"/>
    <x v="0"/>
    <x v="4"/>
    <x v="0"/>
    <x v="0"/>
    <n v="2"/>
    <x v="171"/>
    <x v="0"/>
    <n v="336.1"/>
    <x v="1"/>
    <n v="336.1"/>
    <x v="5"/>
  </r>
  <r>
    <d v="2023-06-29T00:00:00"/>
    <x v="0"/>
    <x v="15"/>
    <x v="1"/>
    <x v="10"/>
    <n v="3"/>
    <x v="172"/>
    <x v="4"/>
    <n v="444.16"/>
    <x v="1"/>
    <n v="296.10250000000002"/>
    <x v="5"/>
  </r>
  <r>
    <d v="2023-06-29T00:00:00"/>
    <x v="0"/>
    <x v="3"/>
    <x v="1"/>
    <x v="1"/>
    <n v="6"/>
    <x v="173"/>
    <x v="3"/>
    <n v="1114.6500000000001"/>
    <x v="0"/>
    <n v="990.79800000000012"/>
    <x v="5"/>
  </r>
  <r>
    <d v="2023-06-30T00:00:00"/>
    <x v="2"/>
    <x v="13"/>
    <x v="0"/>
    <x v="9"/>
    <n v="1"/>
    <x v="174"/>
    <x v="1"/>
    <n v="28.8"/>
    <x v="2"/>
    <n v="16.457999999999998"/>
    <x v="5"/>
  </r>
  <r>
    <d v="2023-06-30T00:00:00"/>
    <x v="3"/>
    <x v="17"/>
    <x v="1"/>
    <x v="1"/>
    <n v="1"/>
    <x v="175"/>
    <x v="2"/>
    <n v="254"/>
    <x v="1"/>
    <n v="190.5"/>
    <x v="5"/>
  </r>
  <r>
    <d v="2023-07-02T00:00:00"/>
    <x v="3"/>
    <x v="6"/>
    <x v="0"/>
    <x v="5"/>
    <n v="3"/>
    <x v="176"/>
    <x v="4"/>
    <n v="725.27"/>
    <x v="0"/>
    <n v="483.51499999999999"/>
    <x v="6"/>
  </r>
  <r>
    <d v="2023-07-06T00:00:00"/>
    <x v="0"/>
    <x v="4"/>
    <x v="1"/>
    <x v="1"/>
    <n v="1"/>
    <x v="177"/>
    <x v="2"/>
    <n v="187.64"/>
    <x v="2"/>
    <n v="140.73199999999997"/>
    <x v="6"/>
  </r>
  <r>
    <d v="2023-07-07T00:00:00"/>
    <x v="3"/>
    <x v="17"/>
    <x v="0"/>
    <x v="0"/>
    <n v="4"/>
    <x v="178"/>
    <x v="0"/>
    <n v="1604.66"/>
    <x v="0"/>
    <n v="1604.66"/>
    <x v="6"/>
  </r>
  <r>
    <d v="2023-07-08T00:00:00"/>
    <x v="2"/>
    <x v="5"/>
    <x v="0"/>
    <x v="0"/>
    <n v="5"/>
    <x v="179"/>
    <x v="4"/>
    <n v="347.92"/>
    <x v="2"/>
    <n v="231.94500000000002"/>
    <x v="6"/>
  </r>
  <r>
    <d v="2023-07-09T00:00:00"/>
    <x v="3"/>
    <x v="22"/>
    <x v="3"/>
    <x v="8"/>
    <n v="3"/>
    <x v="180"/>
    <x v="4"/>
    <n v="686.69"/>
    <x v="2"/>
    <n v="457.79000000000008"/>
    <x v="6"/>
  </r>
  <r>
    <d v="2023-07-10T00:00:00"/>
    <x v="3"/>
    <x v="6"/>
    <x v="1"/>
    <x v="4"/>
    <n v="5"/>
    <x v="181"/>
    <x v="4"/>
    <n v="1847.15"/>
    <x v="0"/>
    <n v="1231.4375"/>
    <x v="6"/>
  </r>
  <r>
    <d v="2023-07-10T00:00:00"/>
    <x v="3"/>
    <x v="17"/>
    <x v="1"/>
    <x v="10"/>
    <n v="5"/>
    <x v="182"/>
    <x v="3"/>
    <n v="1135.2"/>
    <x v="0"/>
    <n v="1009.0650000000001"/>
    <x v="6"/>
  </r>
  <r>
    <d v="2023-07-11T00:00:00"/>
    <x v="1"/>
    <x v="14"/>
    <x v="0"/>
    <x v="0"/>
    <n v="10"/>
    <x v="183"/>
    <x v="4"/>
    <n v="3567.76"/>
    <x v="2"/>
    <n v="2378.5100000000002"/>
    <x v="6"/>
  </r>
  <r>
    <d v="2023-07-12T00:00:00"/>
    <x v="4"/>
    <x v="19"/>
    <x v="0"/>
    <x v="5"/>
    <n v="5"/>
    <x v="184"/>
    <x v="0"/>
    <n v="1893.32"/>
    <x v="0"/>
    <n v="1893.32"/>
    <x v="6"/>
  </r>
  <r>
    <d v="2023-07-15T00:00:00"/>
    <x v="4"/>
    <x v="21"/>
    <x v="0"/>
    <x v="0"/>
    <n v="4"/>
    <x v="185"/>
    <x v="3"/>
    <n v="696.82"/>
    <x v="2"/>
    <n v="619.39600000000007"/>
    <x v="6"/>
  </r>
  <r>
    <d v="2023-07-18T00:00:00"/>
    <x v="2"/>
    <x v="2"/>
    <x v="0"/>
    <x v="5"/>
    <n v="4"/>
    <x v="186"/>
    <x v="1"/>
    <n v="431.98"/>
    <x v="1"/>
    <n v="246.84400000000002"/>
    <x v="6"/>
  </r>
  <r>
    <d v="2023-07-19T00:00:00"/>
    <x v="2"/>
    <x v="10"/>
    <x v="3"/>
    <x v="11"/>
    <n v="3"/>
    <x v="187"/>
    <x v="0"/>
    <n v="577.26"/>
    <x v="2"/>
    <n v="577.26"/>
    <x v="6"/>
  </r>
  <r>
    <d v="2023-07-19T00:00:00"/>
    <x v="4"/>
    <x v="20"/>
    <x v="1"/>
    <x v="10"/>
    <n v="2"/>
    <x v="188"/>
    <x v="2"/>
    <n v="366.77"/>
    <x v="2"/>
    <n v="275.07799999999997"/>
    <x v="6"/>
  </r>
  <r>
    <d v="2023-07-20T00:00:00"/>
    <x v="2"/>
    <x v="13"/>
    <x v="3"/>
    <x v="7"/>
    <n v="8"/>
    <x v="189"/>
    <x v="2"/>
    <n v="925.53"/>
    <x v="1"/>
    <n v="694.154"/>
    <x v="6"/>
  </r>
  <r>
    <d v="2023-07-22T00:00:00"/>
    <x v="2"/>
    <x v="10"/>
    <x v="1"/>
    <x v="4"/>
    <n v="9"/>
    <x v="190"/>
    <x v="3"/>
    <n v="910.81"/>
    <x v="2"/>
    <n v="809.6049999999999"/>
    <x v="6"/>
  </r>
  <r>
    <d v="2023-07-22T00:00:00"/>
    <x v="2"/>
    <x v="10"/>
    <x v="0"/>
    <x v="5"/>
    <n v="6"/>
    <x v="191"/>
    <x v="1"/>
    <n v="587.79"/>
    <x v="2"/>
    <n v="335.88"/>
    <x v="6"/>
  </r>
  <r>
    <d v="2023-07-22T00:00:00"/>
    <x v="4"/>
    <x v="19"/>
    <x v="1"/>
    <x v="4"/>
    <n v="8"/>
    <x v="192"/>
    <x v="0"/>
    <n v="3776.21"/>
    <x v="2"/>
    <n v="3776.21"/>
    <x v="6"/>
  </r>
  <r>
    <d v="2023-07-23T00:00:00"/>
    <x v="4"/>
    <x v="21"/>
    <x v="0"/>
    <x v="9"/>
    <n v="7"/>
    <x v="193"/>
    <x v="0"/>
    <n v="115.5"/>
    <x v="2"/>
    <n v="115.5"/>
    <x v="6"/>
  </r>
  <r>
    <d v="2023-07-24T00:00:00"/>
    <x v="3"/>
    <x v="22"/>
    <x v="2"/>
    <x v="2"/>
    <n v="6"/>
    <x v="194"/>
    <x v="2"/>
    <n v="2179.14"/>
    <x v="2"/>
    <n v="1634.3519999999999"/>
    <x v="6"/>
  </r>
  <r>
    <d v="2023-07-24T00:00:00"/>
    <x v="0"/>
    <x v="4"/>
    <x v="2"/>
    <x v="6"/>
    <n v="8"/>
    <x v="195"/>
    <x v="0"/>
    <n v="540.70000000000005"/>
    <x v="1"/>
    <n v="540.70000000000005"/>
    <x v="6"/>
  </r>
  <r>
    <d v="2023-07-24T00:00:00"/>
    <x v="0"/>
    <x v="4"/>
    <x v="2"/>
    <x v="6"/>
    <n v="10"/>
    <x v="196"/>
    <x v="3"/>
    <n v="192.63"/>
    <x v="2"/>
    <n v="171.23"/>
    <x v="6"/>
  </r>
  <r>
    <d v="2023-07-24T00:00:00"/>
    <x v="4"/>
    <x v="16"/>
    <x v="2"/>
    <x v="6"/>
    <n v="9"/>
    <x v="197"/>
    <x v="3"/>
    <n v="101.09"/>
    <x v="2"/>
    <n v="89.858000000000004"/>
    <x v="6"/>
  </r>
  <r>
    <d v="2023-07-25T00:00:00"/>
    <x v="1"/>
    <x v="24"/>
    <x v="3"/>
    <x v="8"/>
    <n v="7"/>
    <x v="198"/>
    <x v="4"/>
    <n v="420.7"/>
    <x v="0"/>
    <n v="280.47249999999997"/>
    <x v="6"/>
  </r>
  <r>
    <d v="2023-07-25T00:00:00"/>
    <x v="2"/>
    <x v="5"/>
    <x v="3"/>
    <x v="7"/>
    <n v="8"/>
    <x v="199"/>
    <x v="0"/>
    <n v="1665.67"/>
    <x v="2"/>
    <n v="1665.67"/>
    <x v="6"/>
  </r>
  <r>
    <d v="2023-07-25T00:00:00"/>
    <x v="1"/>
    <x v="14"/>
    <x v="0"/>
    <x v="9"/>
    <n v="3"/>
    <x v="200"/>
    <x v="2"/>
    <n v="1052.2"/>
    <x v="0"/>
    <n v="789.14800000000002"/>
    <x v="6"/>
  </r>
  <r>
    <d v="2023-07-25T00:00:00"/>
    <x v="4"/>
    <x v="18"/>
    <x v="3"/>
    <x v="8"/>
    <n v="5"/>
    <x v="201"/>
    <x v="4"/>
    <n v="547.19000000000005"/>
    <x v="2"/>
    <n v="364.79000000000008"/>
    <x v="6"/>
  </r>
  <r>
    <d v="2023-07-26T00:00:00"/>
    <x v="0"/>
    <x v="0"/>
    <x v="0"/>
    <x v="5"/>
    <n v="7"/>
    <x v="202"/>
    <x v="0"/>
    <n v="1775.56"/>
    <x v="0"/>
    <n v="1775.56"/>
    <x v="6"/>
  </r>
  <r>
    <d v="2023-07-26T00:00:00"/>
    <x v="4"/>
    <x v="20"/>
    <x v="1"/>
    <x v="4"/>
    <n v="5"/>
    <x v="203"/>
    <x v="4"/>
    <n v="1807.42"/>
    <x v="0"/>
    <n v="1204.9450000000002"/>
    <x v="6"/>
  </r>
  <r>
    <d v="2023-07-28T00:00:00"/>
    <x v="0"/>
    <x v="23"/>
    <x v="3"/>
    <x v="7"/>
    <n v="2"/>
    <x v="204"/>
    <x v="0"/>
    <n v="969.28"/>
    <x v="2"/>
    <n v="969.28"/>
    <x v="6"/>
  </r>
  <r>
    <d v="2023-07-28T00:00:00"/>
    <x v="4"/>
    <x v="16"/>
    <x v="1"/>
    <x v="4"/>
    <n v="10"/>
    <x v="205"/>
    <x v="1"/>
    <n v="2688.34"/>
    <x v="2"/>
    <n v="1536.1900000000003"/>
    <x v="6"/>
  </r>
  <r>
    <d v="2023-07-28T00:00:00"/>
    <x v="3"/>
    <x v="6"/>
    <x v="3"/>
    <x v="11"/>
    <n v="2"/>
    <x v="206"/>
    <x v="2"/>
    <n v="512.69000000000005"/>
    <x v="1"/>
    <n v="384.51800000000003"/>
    <x v="6"/>
  </r>
  <r>
    <d v="2023-07-31T00:00:00"/>
    <x v="4"/>
    <x v="21"/>
    <x v="2"/>
    <x v="6"/>
    <n v="6"/>
    <x v="207"/>
    <x v="1"/>
    <n v="1512.64"/>
    <x v="0"/>
    <n v="864.37000000000023"/>
    <x v="6"/>
  </r>
  <r>
    <d v="2023-07-31T00:00:00"/>
    <x v="0"/>
    <x v="4"/>
    <x v="3"/>
    <x v="11"/>
    <n v="10"/>
    <x v="208"/>
    <x v="0"/>
    <n v="4548.54"/>
    <x v="0"/>
    <n v="4548.54"/>
    <x v="6"/>
  </r>
  <r>
    <d v="2023-08-01T00:00:00"/>
    <x v="4"/>
    <x v="16"/>
    <x v="0"/>
    <x v="0"/>
    <n v="10"/>
    <x v="209"/>
    <x v="2"/>
    <n v="1740.01"/>
    <x v="1"/>
    <n v="1305.01"/>
    <x v="7"/>
  </r>
  <r>
    <d v="2023-08-01T00:00:00"/>
    <x v="0"/>
    <x v="4"/>
    <x v="2"/>
    <x v="3"/>
    <n v="2"/>
    <x v="210"/>
    <x v="2"/>
    <n v="359.76"/>
    <x v="1"/>
    <n v="269.82"/>
    <x v="7"/>
  </r>
  <r>
    <d v="2023-08-01T00:00:00"/>
    <x v="2"/>
    <x v="8"/>
    <x v="1"/>
    <x v="4"/>
    <n v="2"/>
    <x v="211"/>
    <x v="3"/>
    <n v="602.34"/>
    <x v="0"/>
    <n v="535.41200000000003"/>
    <x v="7"/>
  </r>
  <r>
    <d v="2023-08-02T00:00:00"/>
    <x v="3"/>
    <x v="17"/>
    <x v="2"/>
    <x v="2"/>
    <n v="1"/>
    <x v="212"/>
    <x v="2"/>
    <n v="286.85000000000002"/>
    <x v="1"/>
    <n v="215.13800000000003"/>
    <x v="7"/>
  </r>
  <r>
    <d v="2023-08-02T00:00:00"/>
    <x v="2"/>
    <x v="5"/>
    <x v="0"/>
    <x v="5"/>
    <n v="2"/>
    <x v="213"/>
    <x v="3"/>
    <n v="701.67"/>
    <x v="2"/>
    <n v="623.7059999999999"/>
    <x v="7"/>
  </r>
  <r>
    <d v="2023-08-03T00:00:00"/>
    <x v="2"/>
    <x v="13"/>
    <x v="0"/>
    <x v="5"/>
    <n v="5"/>
    <x v="214"/>
    <x v="2"/>
    <n v="345.8"/>
    <x v="2"/>
    <n v="259.35000000000002"/>
    <x v="7"/>
  </r>
  <r>
    <d v="2023-08-03T00:00:00"/>
    <x v="3"/>
    <x v="6"/>
    <x v="3"/>
    <x v="7"/>
    <n v="7"/>
    <x v="215"/>
    <x v="0"/>
    <n v="3143.59"/>
    <x v="1"/>
    <n v="3143.59"/>
    <x v="7"/>
  </r>
  <r>
    <d v="2023-08-05T00:00:00"/>
    <x v="1"/>
    <x v="24"/>
    <x v="1"/>
    <x v="10"/>
    <n v="4"/>
    <x v="216"/>
    <x v="0"/>
    <n v="1034.92"/>
    <x v="2"/>
    <n v="1034.92"/>
    <x v="7"/>
  </r>
  <r>
    <d v="2023-08-05T00:00:00"/>
    <x v="4"/>
    <x v="20"/>
    <x v="3"/>
    <x v="8"/>
    <n v="4"/>
    <x v="217"/>
    <x v="0"/>
    <n v="736"/>
    <x v="0"/>
    <n v="736"/>
    <x v="7"/>
  </r>
  <r>
    <d v="2023-08-08T00:00:00"/>
    <x v="1"/>
    <x v="9"/>
    <x v="3"/>
    <x v="8"/>
    <n v="10"/>
    <x v="218"/>
    <x v="4"/>
    <n v="3563.11"/>
    <x v="2"/>
    <n v="2375.41"/>
    <x v="7"/>
  </r>
  <r>
    <d v="2023-08-09T00:00:00"/>
    <x v="1"/>
    <x v="9"/>
    <x v="1"/>
    <x v="10"/>
    <n v="8"/>
    <x v="219"/>
    <x v="1"/>
    <n v="1363.84"/>
    <x v="2"/>
    <n v="779.34399999999994"/>
    <x v="7"/>
  </r>
  <r>
    <d v="2023-08-09T00:00:00"/>
    <x v="0"/>
    <x v="15"/>
    <x v="1"/>
    <x v="1"/>
    <n v="9"/>
    <x v="220"/>
    <x v="0"/>
    <n v="4442.17"/>
    <x v="2"/>
    <n v="4442.17"/>
    <x v="7"/>
  </r>
  <r>
    <d v="2023-08-09T00:00:00"/>
    <x v="1"/>
    <x v="9"/>
    <x v="0"/>
    <x v="0"/>
    <n v="9"/>
    <x v="221"/>
    <x v="0"/>
    <n v="2946.31"/>
    <x v="2"/>
    <n v="2946.31"/>
    <x v="7"/>
  </r>
  <r>
    <d v="2023-08-11T00:00:00"/>
    <x v="4"/>
    <x v="16"/>
    <x v="1"/>
    <x v="4"/>
    <n v="7"/>
    <x v="222"/>
    <x v="4"/>
    <n v="1368.79"/>
    <x v="0"/>
    <n v="912.53"/>
    <x v="7"/>
  </r>
  <r>
    <d v="2023-08-11T00:00:00"/>
    <x v="2"/>
    <x v="10"/>
    <x v="0"/>
    <x v="5"/>
    <n v="2"/>
    <x v="223"/>
    <x v="3"/>
    <n v="357.94"/>
    <x v="0"/>
    <n v="318.17"/>
    <x v="7"/>
  </r>
  <r>
    <d v="2023-08-12T00:00:00"/>
    <x v="1"/>
    <x v="1"/>
    <x v="0"/>
    <x v="0"/>
    <n v="3"/>
    <x v="224"/>
    <x v="1"/>
    <n v="190.03"/>
    <x v="2"/>
    <n v="108.58900000000001"/>
    <x v="7"/>
  </r>
  <r>
    <d v="2023-08-12T00:00:00"/>
    <x v="4"/>
    <x v="18"/>
    <x v="0"/>
    <x v="9"/>
    <n v="4"/>
    <x v="225"/>
    <x v="3"/>
    <n v="1122.3599999999999"/>
    <x v="1"/>
    <n v="997.65199999999993"/>
    <x v="7"/>
  </r>
  <r>
    <d v="2023-08-12T00:00:00"/>
    <x v="2"/>
    <x v="8"/>
    <x v="0"/>
    <x v="9"/>
    <n v="6"/>
    <x v="226"/>
    <x v="3"/>
    <n v="1895.69"/>
    <x v="0"/>
    <n v="1685.06"/>
    <x v="7"/>
  </r>
  <r>
    <d v="2023-08-13T00:00:00"/>
    <x v="1"/>
    <x v="14"/>
    <x v="2"/>
    <x v="6"/>
    <n v="8"/>
    <x v="227"/>
    <x v="0"/>
    <n v="2633.36"/>
    <x v="2"/>
    <n v="2633.36"/>
    <x v="7"/>
  </r>
  <r>
    <d v="2023-08-14T00:00:00"/>
    <x v="3"/>
    <x v="7"/>
    <x v="1"/>
    <x v="1"/>
    <n v="4"/>
    <x v="228"/>
    <x v="1"/>
    <n v="814.76"/>
    <x v="0"/>
    <n v="465.584"/>
    <x v="7"/>
  </r>
  <r>
    <d v="2023-08-14T00:00:00"/>
    <x v="1"/>
    <x v="9"/>
    <x v="1"/>
    <x v="10"/>
    <n v="10"/>
    <x v="229"/>
    <x v="2"/>
    <n v="350.17"/>
    <x v="0"/>
    <n v="262.63"/>
    <x v="7"/>
  </r>
  <r>
    <d v="2023-08-15T00:00:00"/>
    <x v="2"/>
    <x v="8"/>
    <x v="2"/>
    <x v="2"/>
    <n v="1"/>
    <x v="230"/>
    <x v="1"/>
    <n v="190.28"/>
    <x v="0"/>
    <n v="108.73100000000001"/>
    <x v="7"/>
  </r>
  <r>
    <d v="2023-08-17T00:00:00"/>
    <x v="4"/>
    <x v="19"/>
    <x v="0"/>
    <x v="0"/>
    <n v="8"/>
    <x v="231"/>
    <x v="2"/>
    <n v="1110.51"/>
    <x v="0"/>
    <n v="832.87799999999993"/>
    <x v="7"/>
  </r>
  <r>
    <d v="2023-08-18T00:00:00"/>
    <x v="2"/>
    <x v="13"/>
    <x v="3"/>
    <x v="11"/>
    <n v="5"/>
    <x v="232"/>
    <x v="4"/>
    <n v="961.1"/>
    <x v="1"/>
    <n v="640.73749999999995"/>
    <x v="7"/>
  </r>
  <r>
    <d v="2023-08-19T00:00:00"/>
    <x v="1"/>
    <x v="1"/>
    <x v="3"/>
    <x v="7"/>
    <n v="5"/>
    <x v="233"/>
    <x v="4"/>
    <n v="381.19"/>
    <x v="2"/>
    <n v="254.1275"/>
    <x v="7"/>
  </r>
  <r>
    <d v="2023-08-20T00:00:00"/>
    <x v="0"/>
    <x v="23"/>
    <x v="2"/>
    <x v="6"/>
    <n v="3"/>
    <x v="234"/>
    <x v="4"/>
    <n v="451.59"/>
    <x v="0"/>
    <n v="301.0575"/>
    <x v="7"/>
  </r>
  <r>
    <d v="2023-08-22T00:00:00"/>
    <x v="3"/>
    <x v="22"/>
    <x v="1"/>
    <x v="10"/>
    <n v="7"/>
    <x v="235"/>
    <x v="1"/>
    <n v="219.92"/>
    <x v="2"/>
    <n v="125.67199999999998"/>
    <x v="7"/>
  </r>
  <r>
    <d v="2023-08-25T00:00:00"/>
    <x v="1"/>
    <x v="9"/>
    <x v="1"/>
    <x v="1"/>
    <n v="5"/>
    <x v="236"/>
    <x v="1"/>
    <n v="434.99"/>
    <x v="1"/>
    <n v="248.57000000000002"/>
    <x v="7"/>
  </r>
  <r>
    <d v="2023-08-25T00:00:00"/>
    <x v="1"/>
    <x v="24"/>
    <x v="2"/>
    <x v="2"/>
    <n v="4"/>
    <x v="237"/>
    <x v="0"/>
    <n v="1435.87"/>
    <x v="0"/>
    <n v="1435.87"/>
    <x v="7"/>
  </r>
  <r>
    <d v="2023-08-27T00:00:00"/>
    <x v="0"/>
    <x v="0"/>
    <x v="2"/>
    <x v="2"/>
    <n v="6"/>
    <x v="238"/>
    <x v="2"/>
    <n v="1864.49"/>
    <x v="2"/>
    <n v="1398.3620000000001"/>
    <x v="7"/>
  </r>
  <r>
    <d v="2023-08-28T00:00:00"/>
    <x v="2"/>
    <x v="13"/>
    <x v="0"/>
    <x v="0"/>
    <n v="4"/>
    <x v="239"/>
    <x v="2"/>
    <n v="1431.53"/>
    <x v="2"/>
    <n v="1073.6499999999999"/>
    <x v="7"/>
  </r>
  <r>
    <d v="2023-08-29T00:00:00"/>
    <x v="2"/>
    <x v="10"/>
    <x v="1"/>
    <x v="1"/>
    <n v="8"/>
    <x v="240"/>
    <x v="3"/>
    <n v="150.27000000000001"/>
    <x v="2"/>
    <n v="133.57400000000001"/>
    <x v="7"/>
  </r>
  <r>
    <d v="2023-08-29T00:00:00"/>
    <x v="0"/>
    <x v="23"/>
    <x v="1"/>
    <x v="4"/>
    <n v="7"/>
    <x v="241"/>
    <x v="3"/>
    <n v="1358.86"/>
    <x v="1"/>
    <n v="1207.877"/>
    <x v="7"/>
  </r>
  <r>
    <d v="2023-08-30T00:00:00"/>
    <x v="1"/>
    <x v="24"/>
    <x v="2"/>
    <x v="2"/>
    <n v="4"/>
    <x v="242"/>
    <x v="4"/>
    <n v="544.82000000000005"/>
    <x v="2"/>
    <n v="363.21000000000004"/>
    <x v="7"/>
  </r>
  <r>
    <d v="2023-09-01T00:00:00"/>
    <x v="1"/>
    <x v="11"/>
    <x v="0"/>
    <x v="9"/>
    <n v="8"/>
    <x v="243"/>
    <x v="4"/>
    <n v="856.25"/>
    <x v="2"/>
    <n v="570.82999999999993"/>
    <x v="8"/>
  </r>
  <r>
    <d v="2023-09-02T00:00:00"/>
    <x v="4"/>
    <x v="16"/>
    <x v="0"/>
    <x v="5"/>
    <n v="3"/>
    <x v="244"/>
    <x v="1"/>
    <n v="592.54"/>
    <x v="0"/>
    <n v="338.596"/>
    <x v="8"/>
  </r>
  <r>
    <d v="2023-09-03T00:00:00"/>
    <x v="1"/>
    <x v="24"/>
    <x v="1"/>
    <x v="4"/>
    <n v="1"/>
    <x v="245"/>
    <x v="3"/>
    <n v="378.7"/>
    <x v="1"/>
    <n v="336.62199999999996"/>
    <x v="8"/>
  </r>
  <r>
    <d v="2023-09-03T00:00:00"/>
    <x v="1"/>
    <x v="1"/>
    <x v="0"/>
    <x v="9"/>
    <n v="3"/>
    <x v="246"/>
    <x v="2"/>
    <n v="655.82"/>
    <x v="0"/>
    <n v="491.86400000000003"/>
    <x v="8"/>
  </r>
  <r>
    <d v="2023-09-04T00:00:00"/>
    <x v="0"/>
    <x v="3"/>
    <x v="1"/>
    <x v="1"/>
    <n v="7"/>
    <x v="247"/>
    <x v="3"/>
    <n v="1057.26"/>
    <x v="0"/>
    <n v="939.78599999999994"/>
    <x v="8"/>
  </r>
  <r>
    <d v="2023-09-05T00:00:00"/>
    <x v="4"/>
    <x v="16"/>
    <x v="2"/>
    <x v="2"/>
    <n v="4"/>
    <x v="248"/>
    <x v="1"/>
    <n v="1288.53"/>
    <x v="0"/>
    <n v="736.30200000000002"/>
    <x v="8"/>
  </r>
  <r>
    <d v="2023-09-06T00:00:00"/>
    <x v="0"/>
    <x v="23"/>
    <x v="3"/>
    <x v="8"/>
    <n v="5"/>
    <x v="249"/>
    <x v="2"/>
    <n v="1804.82"/>
    <x v="1"/>
    <n v="1353.6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F61:G87" firstHeaderRow="1" firstDataRow="1" firstDataCol="1"/>
  <pivotFields count="12">
    <pivotField numFmtId="164" showAll="0"/>
    <pivotField showAll="0"/>
    <pivotField axis="axisRow" showAll="0" sortType="descending">
      <items count="26">
        <item x="10"/>
        <item x="3"/>
        <item x="4"/>
        <item x="17"/>
        <item x="19"/>
        <item x="8"/>
        <item x="23"/>
        <item x="11"/>
        <item x="18"/>
        <item x="20"/>
        <item x="7"/>
        <item x="14"/>
        <item x="0"/>
        <item x="6"/>
        <item x="12"/>
        <item x="2"/>
        <item x="15"/>
        <item x="21"/>
        <item x="9"/>
        <item x="1"/>
        <item x="24"/>
        <item x="13"/>
        <item x="16"/>
        <item x="2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251">
        <item x="34"/>
        <item x="128"/>
        <item x="197"/>
        <item x="131"/>
        <item x="100"/>
        <item x="137"/>
        <item x="193"/>
        <item x="94"/>
        <item x="240"/>
        <item x="196"/>
        <item x="63"/>
        <item x="11"/>
        <item x="150"/>
        <item x="158"/>
        <item x="60"/>
        <item x="48"/>
        <item x="118"/>
        <item x="174"/>
        <item x="162"/>
        <item x="229"/>
        <item x="235"/>
        <item x="35"/>
        <item x="126"/>
        <item x="62"/>
        <item x="18"/>
        <item x="157"/>
        <item x="47"/>
        <item x="30"/>
        <item x="195"/>
        <item x="168"/>
        <item x="72"/>
        <item x="66"/>
        <item x="108"/>
        <item x="31"/>
        <item x="83"/>
        <item x="198"/>
        <item x="214"/>
        <item x="42"/>
        <item x="224"/>
        <item x="179"/>
        <item x="136"/>
        <item x="27"/>
        <item x="86"/>
        <item x="25"/>
        <item x="76"/>
        <item x="21"/>
        <item x="149"/>
        <item x="233"/>
        <item x="74"/>
        <item x="190"/>
        <item x="39"/>
        <item x="103"/>
        <item x="236"/>
        <item x="71"/>
        <item x="164"/>
        <item x="81"/>
        <item x="163"/>
        <item x="41"/>
        <item x="12"/>
        <item x="68"/>
        <item x="191"/>
        <item x="243"/>
        <item x="189"/>
        <item x="153"/>
        <item x="201"/>
        <item x="50"/>
        <item x="33"/>
        <item x="186"/>
        <item x="5"/>
        <item x="133"/>
        <item x="9"/>
        <item x="159"/>
        <item x="125"/>
        <item x="247"/>
        <item x="171"/>
        <item x="57"/>
        <item x="231"/>
        <item x="89"/>
        <item x="105"/>
        <item x="8"/>
        <item x="242"/>
        <item x="217"/>
        <item x="26"/>
        <item x="129"/>
        <item x="187"/>
        <item x="185"/>
        <item x="93"/>
        <item x="15"/>
        <item x="172"/>
        <item x="223"/>
        <item x="73"/>
        <item x="234"/>
        <item x="70"/>
        <item x="173"/>
        <item x="199"/>
        <item x="170"/>
        <item x="241"/>
        <item x="209"/>
        <item x="43"/>
        <item x="112"/>
        <item x="210"/>
        <item x="188"/>
        <item x="167"/>
        <item x="138"/>
        <item x="160"/>
        <item x="45"/>
        <item x="177"/>
        <item x="46"/>
        <item x="17"/>
        <item x="123"/>
        <item x="130"/>
        <item x="219"/>
        <item x="147"/>
        <item x="152"/>
        <item x="40"/>
        <item x="182"/>
        <item x="154"/>
        <item x="202"/>
        <item x="156"/>
        <item x="87"/>
        <item x="232"/>
        <item x="142"/>
        <item x="216"/>
        <item x="222"/>
        <item x="54"/>
        <item x="140"/>
        <item x="36"/>
        <item x="85"/>
        <item x="110"/>
        <item x="97"/>
        <item x="56"/>
        <item x="230"/>
        <item x="246"/>
        <item x="55"/>
        <item x="19"/>
        <item x="51"/>
        <item x="88"/>
        <item x="16"/>
        <item x="244"/>
        <item x="59"/>
        <item x="155"/>
        <item x="228"/>
        <item x="141"/>
        <item x="148"/>
        <item x="92"/>
        <item x="65"/>
        <item x="82"/>
        <item x="6"/>
        <item x="64"/>
        <item x="143"/>
        <item x="180"/>
        <item x="20"/>
        <item x="151"/>
        <item x="2"/>
        <item x="146"/>
        <item x="225"/>
        <item x="120"/>
        <item x="22"/>
        <item x="175"/>
        <item x="37"/>
        <item x="206"/>
        <item x="176"/>
        <item x="13"/>
        <item x="221"/>
        <item x="227"/>
        <item x="14"/>
        <item x="211"/>
        <item x="104"/>
        <item x="122"/>
        <item x="135"/>
        <item x="139"/>
        <item x="44"/>
        <item x="226"/>
        <item x="169"/>
        <item x="117"/>
        <item x="212"/>
        <item x="237"/>
        <item x="207"/>
        <item x="49"/>
        <item x="7"/>
        <item x="61"/>
        <item x="24"/>
        <item x="52"/>
        <item x="111"/>
        <item x="0"/>
        <item x="184"/>
        <item x="101"/>
        <item x="124"/>
        <item x="90"/>
        <item x="67"/>
        <item x="205"/>
        <item x="132"/>
        <item x="238"/>
        <item x="213"/>
        <item x="113"/>
        <item x="1"/>
        <item x="29"/>
        <item x="178"/>
        <item x="38"/>
        <item x="79"/>
        <item x="53"/>
        <item x="134"/>
        <item x="23"/>
        <item x="96"/>
        <item x="98"/>
        <item x="91"/>
        <item x="4"/>
        <item x="245"/>
        <item x="3"/>
        <item x="114"/>
        <item x="121"/>
        <item x="77"/>
        <item x="32"/>
        <item x="84"/>
        <item x="200"/>
        <item x="107"/>
        <item x="80"/>
        <item x="10"/>
        <item x="115"/>
        <item x="109"/>
        <item x="119"/>
        <item x="239"/>
        <item x="215"/>
        <item x="127"/>
        <item x="95"/>
        <item x="249"/>
        <item x="116"/>
        <item x="106"/>
        <item x="194"/>
        <item x="144"/>
        <item x="208"/>
        <item x="28"/>
        <item x="248"/>
        <item x="161"/>
        <item x="58"/>
        <item x="166"/>
        <item x="102"/>
        <item x="78"/>
        <item x="192"/>
        <item x="218"/>
        <item x="183"/>
        <item x="99"/>
        <item x="203"/>
        <item x="204"/>
        <item x="145"/>
        <item x="75"/>
        <item x="181"/>
        <item x="69"/>
        <item x="220"/>
        <item x="165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26">
    <i>
      <x v="2"/>
    </i>
    <i>
      <x v="22"/>
    </i>
    <i>
      <x v="4"/>
    </i>
    <i>
      <x v="17"/>
    </i>
    <i>
      <x v="18"/>
    </i>
    <i>
      <x/>
    </i>
    <i>
      <x v="19"/>
    </i>
    <i>
      <x v="13"/>
    </i>
    <i>
      <x v="8"/>
    </i>
    <i>
      <x v="16"/>
    </i>
    <i>
      <x v="15"/>
    </i>
    <i>
      <x v="9"/>
    </i>
    <i>
      <x v="20"/>
    </i>
    <i>
      <x v="6"/>
    </i>
    <i>
      <x v="5"/>
    </i>
    <i>
      <x v="7"/>
    </i>
    <i>
      <x v="21"/>
    </i>
    <i>
      <x v="3"/>
    </i>
    <i>
      <x v="10"/>
    </i>
    <i>
      <x v="23"/>
    </i>
    <i>
      <x v="12"/>
    </i>
    <i>
      <x v="24"/>
    </i>
    <i>
      <x v="11"/>
    </i>
    <i>
      <x v="1"/>
    </i>
    <i>
      <x v="14"/>
    </i>
    <i t="grand">
      <x/>
    </i>
  </rowItems>
  <colItems count="1">
    <i/>
  </colItems>
  <dataFields count="1">
    <dataField name="Sum of Quantity" fld="5" baseField="0" baseItem="0"/>
  </dataFields>
  <formats count="2">
    <format dxfId="10">
      <pivotArea dataOnly="0" labelOnly="1" outline="0" axis="axisValues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N51:T58" firstHeaderRow="1" firstDataRow="2" firstDataCol="1"/>
  <pivotFields count="12">
    <pivotField numFmtId="164" showAll="0"/>
    <pivotField axis="axisCol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51">
        <item x="34"/>
        <item x="128"/>
        <item x="197"/>
        <item x="131"/>
        <item x="100"/>
        <item x="137"/>
        <item x="193"/>
        <item x="94"/>
        <item x="240"/>
        <item x="196"/>
        <item x="63"/>
        <item x="11"/>
        <item x="150"/>
        <item x="158"/>
        <item x="60"/>
        <item x="48"/>
        <item x="118"/>
        <item x="174"/>
        <item x="162"/>
        <item x="229"/>
        <item x="235"/>
        <item x="35"/>
        <item x="126"/>
        <item x="62"/>
        <item x="18"/>
        <item x="157"/>
        <item x="47"/>
        <item x="30"/>
        <item x="195"/>
        <item x="168"/>
        <item x="72"/>
        <item x="66"/>
        <item x="108"/>
        <item x="31"/>
        <item x="83"/>
        <item x="198"/>
        <item x="214"/>
        <item x="42"/>
        <item x="224"/>
        <item x="179"/>
        <item x="136"/>
        <item x="27"/>
        <item x="86"/>
        <item x="25"/>
        <item x="76"/>
        <item x="21"/>
        <item x="149"/>
        <item x="233"/>
        <item x="74"/>
        <item x="190"/>
        <item x="39"/>
        <item x="103"/>
        <item x="236"/>
        <item x="71"/>
        <item x="164"/>
        <item x="81"/>
        <item x="163"/>
        <item x="41"/>
        <item x="12"/>
        <item x="68"/>
        <item x="191"/>
        <item x="243"/>
        <item x="189"/>
        <item x="153"/>
        <item x="201"/>
        <item x="50"/>
        <item x="33"/>
        <item x="186"/>
        <item x="5"/>
        <item x="133"/>
        <item x="9"/>
        <item x="159"/>
        <item x="125"/>
        <item x="247"/>
        <item x="171"/>
        <item x="57"/>
        <item x="231"/>
        <item x="89"/>
        <item x="105"/>
        <item x="8"/>
        <item x="242"/>
        <item x="217"/>
        <item x="26"/>
        <item x="129"/>
        <item x="187"/>
        <item x="185"/>
        <item x="93"/>
        <item x="15"/>
        <item x="172"/>
        <item x="223"/>
        <item x="73"/>
        <item x="234"/>
        <item x="70"/>
        <item x="173"/>
        <item x="199"/>
        <item x="170"/>
        <item x="241"/>
        <item x="209"/>
        <item x="43"/>
        <item x="112"/>
        <item x="210"/>
        <item x="188"/>
        <item x="167"/>
        <item x="138"/>
        <item x="160"/>
        <item x="45"/>
        <item x="177"/>
        <item x="46"/>
        <item x="17"/>
        <item x="123"/>
        <item x="130"/>
        <item x="219"/>
        <item x="147"/>
        <item x="152"/>
        <item x="40"/>
        <item x="182"/>
        <item x="154"/>
        <item x="202"/>
        <item x="156"/>
        <item x="87"/>
        <item x="232"/>
        <item x="142"/>
        <item x="216"/>
        <item x="222"/>
        <item x="54"/>
        <item x="140"/>
        <item x="36"/>
        <item x="85"/>
        <item x="110"/>
        <item x="97"/>
        <item x="56"/>
        <item x="230"/>
        <item x="246"/>
        <item x="55"/>
        <item x="19"/>
        <item x="51"/>
        <item x="88"/>
        <item x="16"/>
        <item x="244"/>
        <item x="59"/>
        <item x="155"/>
        <item x="228"/>
        <item x="141"/>
        <item x="148"/>
        <item x="92"/>
        <item x="65"/>
        <item x="82"/>
        <item x="6"/>
        <item x="64"/>
        <item x="143"/>
        <item x="180"/>
        <item x="20"/>
        <item x="151"/>
        <item x="2"/>
        <item x="146"/>
        <item x="225"/>
        <item x="120"/>
        <item x="22"/>
        <item x="175"/>
        <item x="37"/>
        <item x="206"/>
        <item x="176"/>
        <item x="13"/>
        <item x="221"/>
        <item x="227"/>
        <item x="14"/>
        <item x="211"/>
        <item x="104"/>
        <item x="122"/>
        <item x="135"/>
        <item x="139"/>
        <item x="44"/>
        <item x="226"/>
        <item x="169"/>
        <item x="117"/>
        <item x="212"/>
        <item x="237"/>
        <item x="207"/>
        <item x="49"/>
        <item x="7"/>
        <item x="61"/>
        <item x="24"/>
        <item x="52"/>
        <item x="111"/>
        <item x="0"/>
        <item x="184"/>
        <item x="101"/>
        <item x="124"/>
        <item x="90"/>
        <item x="67"/>
        <item x="205"/>
        <item x="132"/>
        <item x="238"/>
        <item x="213"/>
        <item x="113"/>
        <item x="1"/>
        <item x="29"/>
        <item x="178"/>
        <item x="38"/>
        <item x="79"/>
        <item x="53"/>
        <item x="134"/>
        <item x="23"/>
        <item x="96"/>
        <item x="98"/>
        <item x="91"/>
        <item x="4"/>
        <item x="245"/>
        <item x="3"/>
        <item x="114"/>
        <item x="121"/>
        <item x="77"/>
        <item x="32"/>
        <item x="84"/>
        <item x="200"/>
        <item x="107"/>
        <item x="80"/>
        <item x="10"/>
        <item x="115"/>
        <item x="109"/>
        <item x="119"/>
        <item x="239"/>
        <item x="215"/>
        <item x="127"/>
        <item x="95"/>
        <item x="249"/>
        <item x="116"/>
        <item x="106"/>
        <item x="194"/>
        <item x="144"/>
        <item x="208"/>
        <item x="28"/>
        <item x="248"/>
        <item x="161"/>
        <item x="58"/>
        <item x="166"/>
        <item x="102"/>
        <item x="78"/>
        <item x="192"/>
        <item x="218"/>
        <item x="183"/>
        <item x="99"/>
        <item x="203"/>
        <item x="204"/>
        <item x="145"/>
        <item x="75"/>
        <item x="181"/>
        <item x="69"/>
        <item x="220"/>
        <item x="165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_Price" fld="6" baseField="0" baseItem="0" numFmtId="1"/>
  </dataFields>
  <formats count="4">
    <format dxfId="35">
      <pivotArea dataOnly="0" labelOnly="1" outline="0" axis="axisValues" fieldPosition="0"/>
    </format>
    <format dxfId="36">
      <pivotArea dataOnly="0" labelOnly="1" outline="0" axis="axisValues" fieldPosition="0"/>
    </format>
    <format dxfId="16">
      <pivotArea outline="0" collapsedLevelsAreSubtotals="1" fieldPosition="0"/>
    </format>
    <format dxfId="12">
      <pivotArea outline="0" collapsedLevelsAreSubtotals="1" fieldPosition="0"/>
    </format>
  </formats>
  <chartFormats count="10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O36:P40" firstHeaderRow="1" firstDataRow="1" firstDataCol="1"/>
  <pivotFields count="12">
    <pivotField numFmtId="164" showAll="0"/>
    <pivotField showAll="0"/>
    <pivotField showAll="0"/>
    <pivotField showAll="0"/>
    <pivotField showAll="0"/>
    <pivotField showAll="0"/>
    <pivotField dataField="1" showAll="0">
      <items count="251">
        <item x="34"/>
        <item x="128"/>
        <item x="197"/>
        <item x="131"/>
        <item x="100"/>
        <item x="137"/>
        <item x="193"/>
        <item x="94"/>
        <item x="240"/>
        <item x="196"/>
        <item x="63"/>
        <item x="11"/>
        <item x="150"/>
        <item x="158"/>
        <item x="60"/>
        <item x="48"/>
        <item x="118"/>
        <item x="174"/>
        <item x="162"/>
        <item x="229"/>
        <item x="235"/>
        <item x="35"/>
        <item x="126"/>
        <item x="62"/>
        <item x="18"/>
        <item x="157"/>
        <item x="47"/>
        <item x="30"/>
        <item x="195"/>
        <item x="168"/>
        <item x="72"/>
        <item x="66"/>
        <item x="108"/>
        <item x="31"/>
        <item x="83"/>
        <item x="198"/>
        <item x="214"/>
        <item x="42"/>
        <item x="224"/>
        <item x="179"/>
        <item x="136"/>
        <item x="27"/>
        <item x="86"/>
        <item x="25"/>
        <item x="76"/>
        <item x="21"/>
        <item x="149"/>
        <item x="233"/>
        <item x="74"/>
        <item x="190"/>
        <item x="39"/>
        <item x="103"/>
        <item x="236"/>
        <item x="71"/>
        <item x="164"/>
        <item x="81"/>
        <item x="163"/>
        <item x="41"/>
        <item x="12"/>
        <item x="68"/>
        <item x="191"/>
        <item x="243"/>
        <item x="189"/>
        <item x="153"/>
        <item x="201"/>
        <item x="50"/>
        <item x="33"/>
        <item x="186"/>
        <item x="5"/>
        <item x="133"/>
        <item x="9"/>
        <item x="159"/>
        <item x="125"/>
        <item x="247"/>
        <item x="171"/>
        <item x="57"/>
        <item x="231"/>
        <item x="89"/>
        <item x="105"/>
        <item x="8"/>
        <item x="242"/>
        <item x="217"/>
        <item x="26"/>
        <item x="129"/>
        <item x="187"/>
        <item x="185"/>
        <item x="93"/>
        <item x="15"/>
        <item x="172"/>
        <item x="223"/>
        <item x="73"/>
        <item x="234"/>
        <item x="70"/>
        <item x="173"/>
        <item x="199"/>
        <item x="170"/>
        <item x="241"/>
        <item x="209"/>
        <item x="43"/>
        <item x="112"/>
        <item x="210"/>
        <item x="188"/>
        <item x="167"/>
        <item x="138"/>
        <item x="160"/>
        <item x="45"/>
        <item x="177"/>
        <item x="46"/>
        <item x="17"/>
        <item x="123"/>
        <item x="130"/>
        <item x="219"/>
        <item x="147"/>
        <item x="152"/>
        <item x="40"/>
        <item x="182"/>
        <item x="154"/>
        <item x="202"/>
        <item x="156"/>
        <item x="87"/>
        <item x="232"/>
        <item x="142"/>
        <item x="216"/>
        <item x="222"/>
        <item x="54"/>
        <item x="140"/>
        <item x="36"/>
        <item x="85"/>
        <item x="110"/>
        <item x="97"/>
        <item x="56"/>
        <item x="230"/>
        <item x="246"/>
        <item x="55"/>
        <item x="19"/>
        <item x="51"/>
        <item x="88"/>
        <item x="16"/>
        <item x="244"/>
        <item x="59"/>
        <item x="155"/>
        <item x="228"/>
        <item x="141"/>
        <item x="148"/>
        <item x="92"/>
        <item x="65"/>
        <item x="82"/>
        <item x="6"/>
        <item x="64"/>
        <item x="143"/>
        <item x="180"/>
        <item x="20"/>
        <item x="151"/>
        <item x="2"/>
        <item x="146"/>
        <item x="225"/>
        <item x="120"/>
        <item x="22"/>
        <item x="175"/>
        <item x="37"/>
        <item x="206"/>
        <item x="176"/>
        <item x="13"/>
        <item x="221"/>
        <item x="227"/>
        <item x="14"/>
        <item x="211"/>
        <item x="104"/>
        <item x="122"/>
        <item x="135"/>
        <item x="139"/>
        <item x="44"/>
        <item x="226"/>
        <item x="169"/>
        <item x="117"/>
        <item x="212"/>
        <item x="237"/>
        <item x="207"/>
        <item x="49"/>
        <item x="7"/>
        <item x="61"/>
        <item x="24"/>
        <item x="52"/>
        <item x="111"/>
        <item x="0"/>
        <item x="184"/>
        <item x="101"/>
        <item x="124"/>
        <item x="90"/>
        <item x="67"/>
        <item x="205"/>
        <item x="132"/>
        <item x="238"/>
        <item x="213"/>
        <item x="113"/>
        <item x="1"/>
        <item x="29"/>
        <item x="178"/>
        <item x="38"/>
        <item x="79"/>
        <item x="53"/>
        <item x="134"/>
        <item x="23"/>
        <item x="96"/>
        <item x="98"/>
        <item x="91"/>
        <item x="4"/>
        <item x="245"/>
        <item x="3"/>
        <item x="114"/>
        <item x="121"/>
        <item x="77"/>
        <item x="32"/>
        <item x="84"/>
        <item x="200"/>
        <item x="107"/>
        <item x="80"/>
        <item x="10"/>
        <item x="115"/>
        <item x="109"/>
        <item x="119"/>
        <item x="239"/>
        <item x="215"/>
        <item x="127"/>
        <item x="95"/>
        <item x="249"/>
        <item x="116"/>
        <item x="106"/>
        <item x="194"/>
        <item x="144"/>
        <item x="208"/>
        <item x="28"/>
        <item x="248"/>
        <item x="161"/>
        <item x="58"/>
        <item x="166"/>
        <item x="102"/>
        <item x="78"/>
        <item x="192"/>
        <item x="218"/>
        <item x="183"/>
        <item x="99"/>
        <item x="203"/>
        <item x="204"/>
        <item x="145"/>
        <item x="75"/>
        <item x="181"/>
        <item x="69"/>
        <item x="220"/>
        <item x="165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6" baseField="0" baseItem="0"/>
  </dataFields>
  <formats count="2">
    <format dxfId="38">
      <pivotArea dataOnly="0" labelOnly="1" outline="0" axis="axisValues" fieldPosition="0"/>
    </format>
    <format dxfId="37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E5:F31" firstHeaderRow="1" firstDataRow="1" firstDataCol="1"/>
  <pivotFields count="10">
    <pivotField showAll="0"/>
    <pivotField showAll="0"/>
    <pivotField axis="axisRow" showAll="0" sortType="descending">
      <items count="37">
        <item h="1" x="25"/>
        <item x="5"/>
        <item x="22"/>
        <item x="16"/>
        <item x="13"/>
        <item x="24"/>
        <item x="1"/>
        <item x="9"/>
        <item x="21"/>
        <item x="15"/>
        <item x="2"/>
        <item x="12"/>
        <item x="6"/>
        <item x="0"/>
        <item x="14"/>
        <item x="7"/>
        <item x="20"/>
        <item x="18"/>
        <item x="11"/>
        <item h="1" f="1" x="34"/>
        <item h="1" f="1" x="33"/>
        <item h="1" f="1" x="32"/>
        <item h="1" f="1" x="31"/>
        <item h="1" f="1" x="30"/>
        <item h="1" f="1" x="29"/>
        <item h="1" f="1" x="28"/>
        <item h="1" f="1" x="27"/>
        <item h="1" f="1" x="35"/>
        <item h="1" f="1" x="26"/>
        <item x="23"/>
        <item x="8"/>
        <item x="19"/>
        <item x="17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2">
        <item x="2"/>
        <item x="7"/>
        <item x="6"/>
        <item x="5"/>
        <item x="0"/>
        <item x="8"/>
        <item x="1"/>
        <item x="3"/>
        <item x="4"/>
        <item x="9"/>
        <item x="1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26">
    <i>
      <x v="33"/>
    </i>
    <i>
      <x v="31"/>
    </i>
    <i>
      <x v="3"/>
    </i>
    <i>
      <x v="7"/>
    </i>
    <i>
      <x v="8"/>
    </i>
    <i>
      <x v="35"/>
    </i>
    <i>
      <x v="6"/>
    </i>
    <i>
      <x v="12"/>
    </i>
    <i>
      <x v="17"/>
    </i>
    <i>
      <x v="9"/>
    </i>
    <i>
      <x v="16"/>
    </i>
    <i>
      <x v="10"/>
    </i>
    <i>
      <x v="5"/>
    </i>
    <i>
      <x v="29"/>
    </i>
    <i>
      <x v="30"/>
    </i>
    <i>
      <x v="18"/>
    </i>
    <i>
      <x v="32"/>
    </i>
    <i>
      <x v="4"/>
    </i>
    <i>
      <x v="15"/>
    </i>
    <i>
      <x v="2"/>
    </i>
    <i>
      <x v="13"/>
    </i>
    <i>
      <x v="1"/>
    </i>
    <i>
      <x v="14"/>
    </i>
    <i>
      <x v="11"/>
    </i>
    <i>
      <x v="34"/>
    </i>
    <i t="grand">
      <x/>
    </i>
  </rowItems>
  <colItems count="1">
    <i/>
  </colItems>
  <dataFields count="1">
    <dataField name="Sum of Quantity" fld="5" baseField="2" baseItem="2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I36:J46" firstHeaderRow="1" firstDataRow="1" firstDataCol="1"/>
  <pivotFields count="12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1"/>
    <field x="0"/>
  </rowFields>
  <rowItems count="10">
    <i>
      <x v="3"/>
    </i>
    <i>
      <x v="4"/>
    </i>
    <i>
      <x v="7"/>
    </i>
    <i>
      <x v="8"/>
    </i>
    <i>
      <x v="6"/>
    </i>
    <i>
      <x v="1"/>
    </i>
    <i>
      <x v="2"/>
    </i>
    <i>
      <x v="5"/>
    </i>
    <i>
      <x v="9"/>
    </i>
    <i t="grand">
      <x/>
    </i>
  </rowItems>
  <colItems count="1">
    <i/>
  </colItems>
  <dataFields count="1">
    <dataField name="Sum of Quantity" fld="5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F51:L57" firstHeaderRow="1" firstDataRow="2" firstDataCol="1"/>
  <pivotFields count="12">
    <pivotField numFmtId="164" showAll="0"/>
    <pivotField axis="axisCol" showAll="0">
      <items count="6">
        <item x="0"/>
        <item x="4"/>
        <item x="1"/>
        <item x="3"/>
        <item x="2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Price" fld="8" baseField="0" baseItem="0"/>
  </dataFields>
  <formats count="2">
    <format dxfId="40">
      <pivotArea dataOnly="0" labelOnly="1" outline="0" axis="axisValues" fieldPosition="0"/>
    </format>
    <format dxfId="39">
      <pivotArea dataOnly="0" labelOnly="1" outline="0" axis="axisValues" fieldPosition="0"/>
    </format>
  </formats>
  <chartFormats count="10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1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1">
  <location ref="K25:L31" firstHeaderRow="1" firstDataRow="1" firstDataCol="1"/>
  <pivotFields count="12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8" baseField="0" baseItem="0"/>
  </dataFields>
  <chartFormats count="1"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1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4">
  <location ref="F36:G42" firstHeaderRow="1" firstDataRow="1" firstDataCol="1"/>
  <pivotFields count="12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Rating" fld="9" subtotal="count" baseField="1" baseItem="0"/>
  </dataFields>
  <chartFormats count="2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1">
  <location ref="K17:M22" firstHeaderRow="0" firstDataRow="1" firstDataCol="1"/>
  <pivotFields count="12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6" baseField="0" baseItem="0" numFmtId="165"/>
    <dataField name="Sum of Quantity" fld="5" baseField="0" baseItem="0"/>
  </dataFields>
  <formats count="5"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1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1">
  <location ref="C36:D42" firstHeaderRow="1" firstDataRow="1" firstDataCol="1"/>
  <pivotFields count="12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Rating" fld="9" subtotal="count" baseField="1" baseItem="0"/>
  </dataFields>
  <chartFormats count="1"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C46:D59" firstHeaderRow="1" firstDataRow="1" firstDataCol="1"/>
  <pivotFields count="12">
    <pivotField numFmtId="164" showAll="0"/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axis="axisRow" showAll="0">
      <items count="13">
        <item x="0"/>
        <item x="2"/>
        <item x="10"/>
        <item x="4"/>
        <item x="9"/>
        <item x="11"/>
        <item x="5"/>
        <item x="1"/>
        <item x="3"/>
        <item x="7"/>
        <item x="8"/>
        <item x="6"/>
        <item t="default"/>
      </items>
    </pivotField>
    <pivotField showAll="0"/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Price" fld="8" baseField="0" baseItem="0"/>
  </dataFields>
  <formats count="2">
    <format dxfId="47">
      <pivotArea dataOnly="0" labelOnly="1" outline="0" axis="axisValues" fieldPosition="0"/>
    </format>
    <format dxfId="46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K5:L11" firstHeaderRow="1" firstDataRow="1" firstDataCol="1"/>
  <pivotFields count="12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8" baseField="0" baseItem="0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K14:L15" firstHeaderRow="0" firstDataRow="1" firstDataCol="0"/>
  <pivotFields count="12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26">
        <item x="10"/>
        <item x="3"/>
        <item x="4"/>
        <item x="17"/>
        <item x="19"/>
        <item x="8"/>
        <item x="23"/>
        <item x="11"/>
        <item x="18"/>
        <item x="20"/>
        <item x="7"/>
        <item x="14"/>
        <item x="0"/>
        <item x="6"/>
        <item x="12"/>
        <item x="2"/>
        <item x="15"/>
        <item x="21"/>
        <item x="9"/>
        <item x="1"/>
        <item x="24"/>
        <item x="13"/>
        <item x="16"/>
        <item x="22"/>
        <item x="5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Dis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:D22" firstHeaderRow="1" firstDataRow="1" firstDataCol="0"/>
  <pivotFields count="10">
    <pivotField showAll="0"/>
    <pivotField showAll="0"/>
    <pivotField showAll="0">
      <items count="37">
        <item x="10"/>
        <item x="3"/>
        <item x="4"/>
        <item x="17"/>
        <item x="19"/>
        <item x="8"/>
        <item x="23"/>
        <item x="11"/>
        <item x="18"/>
        <item x="20"/>
        <item x="7"/>
        <item x="14"/>
        <item x="0"/>
        <item x="6"/>
        <item x="12"/>
        <item x="2"/>
        <item x="15"/>
        <item x="21"/>
        <item x="9"/>
        <item x="1"/>
        <item x="24"/>
        <item x="13"/>
        <item x="16"/>
        <item x="22"/>
        <item x="5"/>
        <item x="25"/>
        <item f="1" x="26"/>
        <item f="1" x="27"/>
        <item f="1" x="28"/>
        <item f="1" x="29"/>
        <item f="1" x="30"/>
        <item f="1" x="31"/>
        <item f="1" x="32"/>
        <item f="1" x="33"/>
        <item f="1" x="34"/>
        <item f="1" x="35"/>
        <item t="default"/>
      </items>
    </pivotField>
    <pivotField showAll="0"/>
    <pivotField showAll="0"/>
    <pivotField showAll="0">
      <items count="12">
        <item x="2"/>
        <item x="7"/>
        <item x="6"/>
        <item x="5"/>
        <item x="0"/>
        <item x="8"/>
        <item x="1"/>
        <item x="3"/>
        <item x="4"/>
        <item x="9"/>
        <item x="10"/>
        <item t="default"/>
      </items>
    </pivotField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H5:I31" firstHeaderRow="1" firstDataRow="1" firstDataCol="1"/>
  <pivotFields count="12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descending">
      <items count="26">
        <item x="10"/>
        <item x="3"/>
        <item x="4"/>
        <item x="17"/>
        <item x="19"/>
        <item x="8"/>
        <item x="23"/>
        <item x="11"/>
        <item x="18"/>
        <item x="20"/>
        <item x="7"/>
        <item x="14"/>
        <item x="0"/>
        <item x="6"/>
        <item x="12"/>
        <item x="2"/>
        <item x="15"/>
        <item x="21"/>
        <item x="9"/>
        <item x="1"/>
        <item x="24"/>
        <item x="13"/>
        <item x="16"/>
        <item x="2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0"/>
        <item x="2"/>
        <item x="10"/>
        <item x="4"/>
        <item x="9"/>
        <item x="11"/>
        <item x="5"/>
        <item x="1"/>
        <item x="3"/>
        <item x="7"/>
        <item x="8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6">
    <i>
      <x v="17"/>
    </i>
    <i>
      <x v="4"/>
    </i>
    <i>
      <x v="2"/>
    </i>
    <i>
      <x v="13"/>
    </i>
    <i>
      <x v="18"/>
    </i>
    <i>
      <x v="9"/>
    </i>
    <i>
      <x v="19"/>
    </i>
    <i>
      <x v="16"/>
    </i>
    <i>
      <x v="8"/>
    </i>
    <i>
      <x v="11"/>
    </i>
    <i>
      <x v="20"/>
    </i>
    <i>
      <x v="23"/>
    </i>
    <i>
      <x/>
    </i>
    <i>
      <x v="6"/>
    </i>
    <i>
      <x v="12"/>
    </i>
    <i>
      <x v="10"/>
    </i>
    <i>
      <x v="22"/>
    </i>
    <i>
      <x v="5"/>
    </i>
    <i>
      <x v="15"/>
    </i>
    <i>
      <x v="7"/>
    </i>
    <i>
      <x v="14"/>
    </i>
    <i>
      <x v="3"/>
    </i>
    <i>
      <x v="1"/>
    </i>
    <i>
      <x v="21"/>
    </i>
    <i>
      <x v="24"/>
    </i>
    <i t="grand">
      <x/>
    </i>
  </rowItems>
  <colItems count="1">
    <i/>
  </colItems>
  <dataFields count="1">
    <dataField name="Sum of Profite " fld="10" baseField="0" baseItem="0" numFmtId="165"/>
  </dataFields>
  <formats count="27">
    <format dxfId="74">
      <pivotArea collapsedLevelsAreSubtotals="1" fieldPosition="0">
        <references count="1">
          <reference field="2" count="1">
            <x v="17"/>
          </reference>
        </references>
      </pivotArea>
    </format>
    <format dxfId="73">
      <pivotArea collapsedLevelsAreSubtotals="1" fieldPosition="0">
        <references count="1">
          <reference field="2" count="1">
            <x v="17"/>
          </reference>
        </references>
      </pivotArea>
    </format>
    <format dxfId="72">
      <pivotArea collapsedLevelsAreSubtotals="1" fieldPosition="0">
        <references count="1">
          <reference field="2" count="1">
            <x v="17"/>
          </reference>
        </references>
      </pivotArea>
    </format>
    <format dxfId="71">
      <pivotArea collapsedLevelsAreSubtotals="1" fieldPosition="0">
        <references count="1">
          <reference field="2" count="1">
            <x v="4"/>
          </reference>
        </references>
      </pivotArea>
    </format>
    <format dxfId="70">
      <pivotArea collapsedLevelsAreSubtotals="1" fieldPosition="0">
        <references count="1">
          <reference field="2" count="1">
            <x v="4"/>
          </reference>
        </references>
      </pivotArea>
    </format>
    <format dxfId="69">
      <pivotArea collapsedLevelsAreSubtotals="1" fieldPosition="0">
        <references count="1">
          <reference field="2" count="1">
            <x v="4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dataOnly="0" labelOnly="1" outline="0" axis="axisValues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dataOnly="0" labelOnly="1" outline="0" axis="axisValues" fieldPosition="0"/>
    </format>
    <format dxfId="57">
      <pivotArea dataOnly="0" labelOnly="1" fieldPosition="0">
        <references count="1">
          <reference field="2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" type="button" dataOnly="0" labelOnly="1" outline="0" axis="axisRow" fieldPosition="0"/>
    </format>
    <format dxfId="51">
      <pivotArea dataOnly="0" labelOnly="1" outline="0" axis="axisValues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36:M46" firstHeaderRow="1" firstDataRow="1" firstDataCol="1"/>
  <pivotFields count="12"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10">
    <i>
      <x v="2"/>
    </i>
    <i>
      <x v="3"/>
    </i>
    <i>
      <x v="6"/>
    </i>
    <i>
      <x v="7"/>
    </i>
    <i>
      <x/>
    </i>
    <i>
      <x v="5"/>
    </i>
    <i>
      <x v="4"/>
    </i>
    <i>
      <x v="1"/>
    </i>
    <i>
      <x v="8"/>
    </i>
    <i t="grand">
      <x/>
    </i>
  </rowItems>
  <colItems count="1">
    <i/>
  </colItems>
  <dataFields count="1">
    <dataField name="Sum of Total_Price" fld="8" baseField="0" baseItem="0"/>
  </dataFields>
  <formats count="6">
    <format dxfId="80">
      <pivotArea dataOnly="0" labelOnly="1" outline="0" axis="axisValues" fieldPosition="0"/>
    </format>
    <format dxfId="79">
      <pivotArea dataOnly="0" labelOnly="1" outline="0" axis="axisValues" fieldPosition="0"/>
    </format>
    <format dxfId="78">
      <pivotArea collapsedLevelsAreSubtotals="1" fieldPosition="0">
        <references count="1">
          <reference field="11" count="1">
            <x v="0"/>
          </reference>
        </references>
      </pivotArea>
    </format>
    <format dxfId="77">
      <pivotArea collapsedLevelsAreSubtotals="1" fieldPosition="0">
        <references count="1">
          <reference field="11" count="0"/>
        </references>
      </pivotArea>
    </format>
    <format dxfId="76">
      <pivotArea collapsedLevelsAreSubtotals="1" fieldPosition="0">
        <references count="1">
          <reference field="11" count="0"/>
        </references>
      </pivotArea>
    </format>
    <format dxfId="75">
      <pivotArea collapsedLevelsAreSubtotals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A2" sqref="A2:C2"/>
    </sheetView>
  </sheetViews>
  <sheetFormatPr defaultColWidth="14.453125" defaultRowHeight="15" customHeight="1"/>
  <cols>
    <col min="1" max="1" width="8.7265625" customWidth="1"/>
    <col min="2" max="2" width="19.81640625" customWidth="1"/>
    <col min="3" max="3" width="37" customWidth="1"/>
    <col min="4" max="26" width="8.7265625" customWidth="1"/>
  </cols>
  <sheetData>
    <row r="1" spans="1:26" ht="14.5">
      <c r="A1" s="1" t="s">
        <v>0</v>
      </c>
      <c r="B1" s="32" t="s">
        <v>1</v>
      </c>
      <c r="C1" s="3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34" t="s">
        <v>2</v>
      </c>
      <c r="B2" s="35"/>
      <c r="C2" s="3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3" t="s">
        <v>3</v>
      </c>
      <c r="B3" s="36" t="s">
        <v>4</v>
      </c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3" t="s">
        <v>6</v>
      </c>
      <c r="B4" s="30"/>
      <c r="C4" s="1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3" t="s">
        <v>8</v>
      </c>
      <c r="B5" s="31"/>
      <c r="C5" s="4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3" t="s">
        <v>10</v>
      </c>
      <c r="B6" s="29" t="s">
        <v>11</v>
      </c>
      <c r="C6" s="4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3" t="s">
        <v>13</v>
      </c>
      <c r="B7" s="30"/>
      <c r="C7" s="4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3" t="s">
        <v>15</v>
      </c>
      <c r="B8" s="31"/>
      <c r="C8" s="4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3" t="s">
        <v>17</v>
      </c>
      <c r="B9" s="29" t="s">
        <v>18</v>
      </c>
      <c r="C9" s="4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3" t="s">
        <v>20</v>
      </c>
      <c r="B10" s="30"/>
      <c r="C10" s="4" t="s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3" t="s">
        <v>22</v>
      </c>
      <c r="B11" s="31"/>
      <c r="C11" s="4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3" t="s">
        <v>24</v>
      </c>
      <c r="B12" s="29" t="s">
        <v>25</v>
      </c>
      <c r="C12" s="4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>
      <c r="A13" s="3" t="s">
        <v>27</v>
      </c>
      <c r="B13" s="30"/>
      <c r="C13" s="4" t="s">
        <v>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3" t="s">
        <v>29</v>
      </c>
      <c r="B14" s="31"/>
      <c r="C14" s="4" t="s">
        <v>30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3" t="s">
        <v>31</v>
      </c>
      <c r="B15" s="29" t="s">
        <v>32</v>
      </c>
      <c r="C15" s="4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3" t="s">
        <v>34</v>
      </c>
      <c r="B16" s="30"/>
      <c r="C16" s="4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>
      <c r="A17" s="3" t="s">
        <v>36</v>
      </c>
      <c r="B17" s="31"/>
      <c r="C17" s="4" t="s">
        <v>37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>
      <c r="A18" s="2"/>
      <c r="B18" s="2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>
      <c r="A19" s="2"/>
      <c r="B19" s="2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>
      <c r="A20" s="2"/>
      <c r="B20" s="2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>
      <c r="A21" s="2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5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5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5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5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5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5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5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5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5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5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5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5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5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5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5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5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5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7">
    <mergeCell ref="B12:B14"/>
    <mergeCell ref="B15:B17"/>
    <mergeCell ref="B1:C1"/>
    <mergeCell ref="A2:C2"/>
    <mergeCell ref="B3:B5"/>
    <mergeCell ref="B6:B8"/>
    <mergeCell ref="B9:B1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7"/>
  <sheetViews>
    <sheetView topLeftCell="A53" zoomScale="55" zoomScaleNormal="55" workbookViewId="0">
      <selection activeCell="F62" sqref="F62"/>
    </sheetView>
  </sheetViews>
  <sheetFormatPr defaultRowHeight="14.5"/>
  <cols>
    <col min="2" max="2" width="13.08984375" customWidth="1"/>
    <col min="3" max="3" width="13.7265625" customWidth="1"/>
    <col min="4" max="4" width="16.81640625" customWidth="1"/>
    <col min="5" max="5" width="13.1796875" bestFit="1" customWidth="1"/>
    <col min="6" max="7" width="14.6328125" customWidth="1"/>
    <col min="8" max="8" width="9" customWidth="1"/>
    <col min="9" max="9" width="9.81640625" customWidth="1"/>
    <col min="10" max="10" width="14.453125" customWidth="1"/>
    <col min="11" max="11" width="9" customWidth="1"/>
    <col min="12" max="12" width="10.7265625" customWidth="1"/>
    <col min="13" max="13" width="16.54296875" customWidth="1"/>
    <col min="14" max="14" width="16" customWidth="1"/>
    <col min="15" max="15" width="16.90625" customWidth="1"/>
    <col min="16" max="16" width="9" customWidth="1"/>
    <col min="17" max="17" width="9.81640625" customWidth="1"/>
    <col min="18" max="18" width="14.453125" customWidth="1"/>
    <col min="19" max="19" width="9" customWidth="1"/>
    <col min="20" max="20" width="10.7265625" bestFit="1" customWidth="1"/>
  </cols>
  <sheetData>
    <row r="3" spans="2:13">
      <c r="B3" s="37" t="s">
        <v>4</v>
      </c>
      <c r="C3" s="37"/>
      <c r="D3" s="37"/>
    </row>
    <row r="5" spans="2:13">
      <c r="B5" s="18"/>
      <c r="C5" s="19"/>
      <c r="D5" s="20"/>
      <c r="E5" s="10" t="s">
        <v>94</v>
      </c>
      <c r="F5" t="s">
        <v>102</v>
      </c>
      <c r="H5" s="14" t="s">
        <v>94</v>
      </c>
      <c r="I5" s="15" t="s">
        <v>99</v>
      </c>
      <c r="K5" s="10" t="s">
        <v>94</v>
      </c>
      <c r="L5" t="s">
        <v>100</v>
      </c>
    </row>
    <row r="6" spans="2:13">
      <c r="B6" s="21"/>
      <c r="C6" s="22"/>
      <c r="D6" s="23"/>
      <c r="E6" s="11" t="s">
        <v>61</v>
      </c>
      <c r="F6" s="12">
        <v>77</v>
      </c>
      <c r="H6" s="16" t="s">
        <v>90</v>
      </c>
      <c r="I6" s="15">
        <v>16108.429000000002</v>
      </c>
      <c r="K6" s="11" t="s">
        <v>48</v>
      </c>
      <c r="L6" s="12">
        <v>59129.120000000003</v>
      </c>
    </row>
    <row r="7" spans="2:13">
      <c r="B7" s="21"/>
      <c r="C7" s="22"/>
      <c r="D7" s="23"/>
      <c r="E7" s="11" t="s">
        <v>87</v>
      </c>
      <c r="F7" s="12">
        <v>74</v>
      </c>
      <c r="H7" s="16" t="s">
        <v>87</v>
      </c>
      <c r="I7" s="15">
        <v>15171.084000000003</v>
      </c>
      <c r="K7" s="11" t="s">
        <v>82</v>
      </c>
      <c r="L7" s="12">
        <v>76651.979999999981</v>
      </c>
    </row>
    <row r="8" spans="2:13">
      <c r="B8" s="21"/>
      <c r="C8" s="22"/>
      <c r="D8" s="23"/>
      <c r="E8" s="11" t="s">
        <v>83</v>
      </c>
      <c r="F8" s="12">
        <v>74</v>
      </c>
      <c r="H8" s="16" t="s">
        <v>61</v>
      </c>
      <c r="I8" s="15">
        <v>14972.449000000001</v>
      </c>
      <c r="K8" s="11" t="s">
        <v>52</v>
      </c>
      <c r="L8" s="12">
        <v>64505.49</v>
      </c>
    </row>
    <row r="9" spans="2:13">
      <c r="B9" s="21"/>
      <c r="C9" s="22"/>
      <c r="D9" s="23"/>
      <c r="E9" s="11" t="s">
        <v>73</v>
      </c>
      <c r="F9" s="12">
        <v>73</v>
      </c>
      <c r="H9" s="16" t="s">
        <v>67</v>
      </c>
      <c r="I9" s="15">
        <v>14643.735499999999</v>
      </c>
      <c r="K9" s="11" t="s">
        <v>66</v>
      </c>
      <c r="L9" s="12">
        <v>52696.630000000012</v>
      </c>
    </row>
    <row r="10" spans="2:13">
      <c r="B10" s="21"/>
      <c r="C10" s="22"/>
      <c r="D10" s="23"/>
      <c r="E10" s="11" t="s">
        <v>90</v>
      </c>
      <c r="F10" s="12">
        <v>73</v>
      </c>
      <c r="H10" s="16" t="s">
        <v>73</v>
      </c>
      <c r="I10" s="15">
        <v>14107.826999999996</v>
      </c>
      <c r="K10" s="11" t="s">
        <v>56</v>
      </c>
      <c r="L10" s="12">
        <v>43867.209999999985</v>
      </c>
    </row>
    <row r="11" spans="2:13">
      <c r="B11" s="21"/>
      <c r="C11" s="22"/>
      <c r="D11" s="23"/>
      <c r="E11" s="11" t="s">
        <v>74</v>
      </c>
      <c r="F11" s="12">
        <v>67</v>
      </c>
      <c r="H11" s="16" t="s">
        <v>89</v>
      </c>
      <c r="I11" s="15">
        <v>12552.449999999999</v>
      </c>
      <c r="K11" s="11" t="s">
        <v>95</v>
      </c>
      <c r="L11" s="12">
        <v>296850.42999999993</v>
      </c>
    </row>
    <row r="12" spans="2:13">
      <c r="B12" s="21"/>
      <c r="C12" s="22"/>
      <c r="D12" s="23"/>
      <c r="E12" s="11" t="s">
        <v>53</v>
      </c>
      <c r="F12" s="12">
        <v>66</v>
      </c>
      <c r="H12" s="16" t="s">
        <v>53</v>
      </c>
      <c r="I12" s="15">
        <v>12151.4725</v>
      </c>
    </row>
    <row r="13" spans="2:13">
      <c r="B13" s="21"/>
      <c r="C13" s="22"/>
      <c r="D13" s="23"/>
      <c r="E13" s="11" t="s">
        <v>67</v>
      </c>
      <c r="F13" s="12">
        <v>61</v>
      </c>
      <c r="H13" s="16" t="s">
        <v>81</v>
      </c>
      <c r="I13" s="15">
        <v>11638.3465</v>
      </c>
    </row>
    <row r="14" spans="2:13">
      <c r="B14" s="21"/>
      <c r="C14" s="22"/>
      <c r="D14" s="23"/>
      <c r="E14" s="11" t="s">
        <v>85</v>
      </c>
      <c r="F14" s="12">
        <v>60</v>
      </c>
      <c r="H14" s="16" t="s">
        <v>85</v>
      </c>
      <c r="I14" s="15">
        <v>9921.0350000000017</v>
      </c>
      <c r="K14" t="s">
        <v>102</v>
      </c>
      <c r="L14" t="s">
        <v>103</v>
      </c>
    </row>
    <row r="15" spans="2:13">
      <c r="B15" s="21"/>
      <c r="C15" s="22"/>
      <c r="D15" s="23"/>
      <c r="E15" s="11" t="s">
        <v>81</v>
      </c>
      <c r="F15" s="12">
        <v>58</v>
      </c>
      <c r="H15" s="16" t="s">
        <v>80</v>
      </c>
      <c r="I15" s="15">
        <v>9537.43</v>
      </c>
      <c r="K15" s="12">
        <v>1349</v>
      </c>
      <c r="L15" s="12">
        <v>42.300000000000054</v>
      </c>
    </row>
    <row r="16" spans="2:13">
      <c r="B16" s="21"/>
      <c r="C16" s="22"/>
      <c r="D16" s="23"/>
      <c r="E16" s="11" t="s">
        <v>89</v>
      </c>
      <c r="F16" s="12">
        <v>53</v>
      </c>
      <c r="H16" s="16" t="s">
        <v>93</v>
      </c>
      <c r="I16" s="15">
        <v>9092.789499999999</v>
      </c>
      <c r="K16" s="38" t="s">
        <v>105</v>
      </c>
      <c r="L16" s="38"/>
      <c r="M16" s="38"/>
    </row>
    <row r="17" spans="2:13">
      <c r="B17" s="21"/>
      <c r="C17" s="22"/>
      <c r="D17" s="23"/>
      <c r="E17" s="11" t="s">
        <v>57</v>
      </c>
      <c r="F17" s="12">
        <v>53</v>
      </c>
      <c r="H17" s="16" t="s">
        <v>91</v>
      </c>
      <c r="I17" s="15">
        <v>8377.4840000000004</v>
      </c>
      <c r="K17" s="10" t="s">
        <v>94</v>
      </c>
      <c r="L17" t="s">
        <v>104</v>
      </c>
      <c r="M17" t="s">
        <v>102</v>
      </c>
    </row>
    <row r="18" spans="2:13">
      <c r="B18" s="21"/>
      <c r="C18" s="22"/>
      <c r="D18" s="23"/>
      <c r="E18" s="11" t="s">
        <v>93</v>
      </c>
      <c r="F18" s="12">
        <v>52</v>
      </c>
      <c r="H18" s="16" t="s">
        <v>74</v>
      </c>
      <c r="I18" s="15">
        <v>8258.9429999999993</v>
      </c>
      <c r="K18" s="11" t="s">
        <v>58</v>
      </c>
      <c r="L18" s="15">
        <v>13137.279999999999</v>
      </c>
      <c r="M18" s="12">
        <v>253</v>
      </c>
    </row>
    <row r="19" spans="2:13">
      <c r="B19" s="21"/>
      <c r="C19" s="22"/>
      <c r="D19" s="23"/>
      <c r="E19" s="11" t="s">
        <v>92</v>
      </c>
      <c r="F19" s="12">
        <v>52</v>
      </c>
      <c r="H19" s="16" t="s">
        <v>92</v>
      </c>
      <c r="I19" s="15">
        <v>7883.2154999999993</v>
      </c>
      <c r="K19" s="11" t="s">
        <v>54</v>
      </c>
      <c r="L19" s="15">
        <v>17272.979999999996</v>
      </c>
      <c r="M19" s="12">
        <v>382</v>
      </c>
    </row>
    <row r="20" spans="2:13">
      <c r="B20" s="21"/>
      <c r="C20" s="22"/>
      <c r="D20" s="23"/>
      <c r="E20" s="11" t="s">
        <v>70</v>
      </c>
      <c r="F20" s="12">
        <v>51</v>
      </c>
      <c r="H20" s="16" t="s">
        <v>49</v>
      </c>
      <c r="I20" s="15">
        <v>7366.6670000000004</v>
      </c>
      <c r="K20" s="11" t="s">
        <v>50</v>
      </c>
      <c r="L20" s="15">
        <v>19251.909999999996</v>
      </c>
      <c r="M20" s="12">
        <v>417</v>
      </c>
    </row>
    <row r="21" spans="2:13">
      <c r="B21" s="21"/>
      <c r="C21" s="22"/>
      <c r="D21" s="23"/>
      <c r="E21" s="11" t="s">
        <v>75</v>
      </c>
      <c r="F21" s="12">
        <v>48</v>
      </c>
      <c r="H21" s="16" t="s">
        <v>69</v>
      </c>
      <c r="I21" s="15">
        <v>7328.0820000000012</v>
      </c>
      <c r="K21" s="11" t="s">
        <v>71</v>
      </c>
      <c r="L21" s="15">
        <v>15164.95</v>
      </c>
      <c r="M21" s="12">
        <v>297</v>
      </c>
    </row>
    <row r="22" spans="2:13">
      <c r="B22" s="24"/>
      <c r="C22" s="25"/>
      <c r="D22" s="26"/>
      <c r="E22" s="11" t="s">
        <v>84</v>
      </c>
      <c r="F22" s="12">
        <v>45</v>
      </c>
      <c r="H22" s="16" t="s">
        <v>83</v>
      </c>
      <c r="I22" s="15">
        <v>7212.5370000000003</v>
      </c>
      <c r="K22" s="11" t="s">
        <v>95</v>
      </c>
      <c r="L22" s="15">
        <v>64827.119999999995</v>
      </c>
      <c r="M22" s="12">
        <v>1349</v>
      </c>
    </row>
    <row r="23" spans="2:13">
      <c r="E23" s="11" t="s">
        <v>79</v>
      </c>
      <c r="F23" s="12">
        <v>45</v>
      </c>
      <c r="H23" s="16" t="s">
        <v>70</v>
      </c>
      <c r="I23" s="15">
        <v>7134.2270000000008</v>
      </c>
    </row>
    <row r="24" spans="2:13">
      <c r="E24" s="11" t="s">
        <v>69</v>
      </c>
      <c r="F24" s="12">
        <v>43</v>
      </c>
      <c r="H24" s="16" t="s">
        <v>57</v>
      </c>
      <c r="I24" s="15">
        <v>7023.4570000000012</v>
      </c>
      <c r="K24" s="17" t="s">
        <v>106</v>
      </c>
    </row>
    <row r="25" spans="2:13">
      <c r="E25" s="11" t="s">
        <v>91</v>
      </c>
      <c r="F25" s="12">
        <v>41</v>
      </c>
      <c r="H25" s="16" t="s">
        <v>75</v>
      </c>
      <c r="I25" s="15">
        <v>6819.0240000000003</v>
      </c>
      <c r="K25" s="10" t="s">
        <v>94</v>
      </c>
      <c r="L25" t="s">
        <v>100</v>
      </c>
    </row>
    <row r="26" spans="2:13">
      <c r="E26" s="11" t="s">
        <v>49</v>
      </c>
      <c r="F26" s="12">
        <v>41</v>
      </c>
      <c r="H26" s="16" t="s">
        <v>77</v>
      </c>
      <c r="I26" s="15">
        <v>6688.6089999999995</v>
      </c>
      <c r="K26" s="11">
        <v>0</v>
      </c>
      <c r="L26" s="12">
        <v>83060.729999999967</v>
      </c>
    </row>
    <row r="27" spans="2:13">
      <c r="E27" s="11" t="s">
        <v>64</v>
      </c>
      <c r="F27" s="12">
        <v>39</v>
      </c>
      <c r="H27" s="16" t="s">
        <v>84</v>
      </c>
      <c r="I27" s="15">
        <v>6608.2905000000001</v>
      </c>
      <c r="K27" s="11">
        <v>0.1</v>
      </c>
      <c r="L27" s="12">
        <v>57085.079999999994</v>
      </c>
    </row>
    <row r="28" spans="2:13">
      <c r="E28" s="11" t="s">
        <v>80</v>
      </c>
      <c r="F28" s="12">
        <v>39</v>
      </c>
      <c r="H28" s="16" t="s">
        <v>60</v>
      </c>
      <c r="I28" s="15">
        <v>6138.94</v>
      </c>
      <c r="K28" s="11">
        <v>0.2</v>
      </c>
      <c r="L28" s="12">
        <v>61618.9</v>
      </c>
    </row>
    <row r="29" spans="2:13">
      <c r="E29" s="11" t="s">
        <v>77</v>
      </c>
      <c r="F29" s="12">
        <v>32</v>
      </c>
      <c r="H29" s="16" t="s">
        <v>79</v>
      </c>
      <c r="I29" s="15">
        <v>5813.9749999999995</v>
      </c>
      <c r="K29" s="11">
        <v>0.25</v>
      </c>
      <c r="L29" s="12">
        <v>50789.43</v>
      </c>
    </row>
    <row r="30" spans="2:13">
      <c r="E30" s="11" t="s">
        <v>60</v>
      </c>
      <c r="F30" s="12">
        <v>32</v>
      </c>
      <c r="H30" s="16" t="s">
        <v>64</v>
      </c>
      <c r="I30" s="15">
        <v>5318.0190000000002</v>
      </c>
      <c r="K30" s="11">
        <v>0.3</v>
      </c>
      <c r="L30" s="12">
        <v>44296.29</v>
      </c>
    </row>
    <row r="31" spans="2:13">
      <c r="E31" s="11" t="s">
        <v>95</v>
      </c>
      <c r="F31" s="12">
        <v>1349</v>
      </c>
      <c r="H31" s="16" t="s">
        <v>95</v>
      </c>
      <c r="I31" s="15">
        <v>237868.51799999998</v>
      </c>
      <c r="K31" s="11" t="s">
        <v>95</v>
      </c>
      <c r="L31" s="12">
        <v>296850.42999999993</v>
      </c>
    </row>
    <row r="36" spans="3:16">
      <c r="C36" s="10" t="s">
        <v>94</v>
      </c>
      <c r="D36" t="s">
        <v>108</v>
      </c>
      <c r="F36" s="10" t="s">
        <v>94</v>
      </c>
      <c r="G36" t="s">
        <v>108</v>
      </c>
      <c r="I36" s="10" t="s">
        <v>94</v>
      </c>
      <c r="J36" t="s">
        <v>102</v>
      </c>
      <c r="L36" s="10" t="s">
        <v>94</v>
      </c>
      <c r="M36" s="27" t="s">
        <v>100</v>
      </c>
      <c r="O36" s="10" t="s">
        <v>94</v>
      </c>
      <c r="P36" s="27" t="s">
        <v>104</v>
      </c>
    </row>
    <row r="37" spans="3:16">
      <c r="C37" s="11" t="s">
        <v>48</v>
      </c>
      <c r="D37" s="12">
        <v>49</v>
      </c>
      <c r="F37" s="11" t="s">
        <v>48</v>
      </c>
      <c r="G37" s="12">
        <v>49</v>
      </c>
      <c r="I37" s="11" t="s">
        <v>112</v>
      </c>
      <c r="J37" s="12">
        <v>230</v>
      </c>
      <c r="L37" s="11" t="s">
        <v>112</v>
      </c>
      <c r="M37" s="15">
        <v>50954.41</v>
      </c>
      <c r="O37" s="11">
        <v>3</v>
      </c>
      <c r="P37" s="12">
        <v>14241.790000000003</v>
      </c>
    </row>
    <row r="38" spans="3:16">
      <c r="C38" s="11" t="s">
        <v>82</v>
      </c>
      <c r="D38" s="12">
        <v>57</v>
      </c>
      <c r="F38" s="11" t="s">
        <v>82</v>
      </c>
      <c r="G38" s="12">
        <v>57</v>
      </c>
      <c r="I38" s="11" t="s">
        <v>113</v>
      </c>
      <c r="J38" s="12">
        <v>193</v>
      </c>
      <c r="L38" s="11" t="s">
        <v>113</v>
      </c>
      <c r="M38" s="15">
        <v>48572.08</v>
      </c>
      <c r="O38" s="11">
        <v>4</v>
      </c>
      <c r="P38" s="12">
        <v>27901.200000000001</v>
      </c>
    </row>
    <row r="39" spans="3:16">
      <c r="C39" s="11" t="s">
        <v>52</v>
      </c>
      <c r="D39" s="12">
        <v>49</v>
      </c>
      <c r="F39" s="11" t="s">
        <v>52</v>
      </c>
      <c r="G39" s="12">
        <v>49</v>
      </c>
      <c r="I39" s="11" t="s">
        <v>116</v>
      </c>
      <c r="J39" s="12">
        <v>190</v>
      </c>
      <c r="L39" s="11" t="s">
        <v>116</v>
      </c>
      <c r="M39" s="15">
        <v>40898.07</v>
      </c>
      <c r="O39" s="11">
        <v>5</v>
      </c>
      <c r="P39" s="12">
        <v>22684.13</v>
      </c>
    </row>
    <row r="40" spans="3:16">
      <c r="C40" s="11" t="s">
        <v>66</v>
      </c>
      <c r="D40" s="12">
        <v>41</v>
      </c>
      <c r="F40" s="11" t="s">
        <v>66</v>
      </c>
      <c r="G40" s="12">
        <v>41</v>
      </c>
      <c r="I40" s="11" t="s">
        <v>117</v>
      </c>
      <c r="J40" s="12">
        <v>184</v>
      </c>
      <c r="L40" s="11" t="s">
        <v>117</v>
      </c>
      <c r="M40" s="15">
        <v>40534.889999999985</v>
      </c>
      <c r="O40" s="11" t="s">
        <v>95</v>
      </c>
      <c r="P40" s="12">
        <v>64827.12000000001</v>
      </c>
    </row>
    <row r="41" spans="3:16">
      <c r="C41" s="11" t="s">
        <v>56</v>
      </c>
      <c r="D41" s="12">
        <v>54</v>
      </c>
      <c r="F41" s="11" t="s">
        <v>56</v>
      </c>
      <c r="G41" s="12">
        <v>54</v>
      </c>
      <c r="I41" s="11" t="s">
        <v>115</v>
      </c>
      <c r="J41" s="12">
        <v>148</v>
      </c>
      <c r="L41" s="11" t="s">
        <v>110</v>
      </c>
      <c r="M41" s="15">
        <v>32395.629999999997</v>
      </c>
    </row>
    <row r="42" spans="3:16">
      <c r="C42" s="11" t="s">
        <v>95</v>
      </c>
      <c r="D42" s="12">
        <v>250</v>
      </c>
      <c r="F42" s="11" t="s">
        <v>95</v>
      </c>
      <c r="G42" s="12">
        <v>250</v>
      </c>
      <c r="I42" s="11" t="s">
        <v>110</v>
      </c>
      <c r="J42" s="12">
        <v>148</v>
      </c>
      <c r="L42" s="11" t="s">
        <v>115</v>
      </c>
      <c r="M42" s="15">
        <v>30008.49</v>
      </c>
    </row>
    <row r="43" spans="3:16">
      <c r="I43" s="11" t="s">
        <v>111</v>
      </c>
      <c r="J43" s="12">
        <v>120</v>
      </c>
      <c r="L43" s="11" t="s">
        <v>114</v>
      </c>
      <c r="M43" s="15">
        <v>24505.06</v>
      </c>
    </row>
    <row r="44" spans="3:16">
      <c r="I44" s="11" t="s">
        <v>114</v>
      </c>
      <c r="J44" s="12">
        <v>105</v>
      </c>
      <c r="L44" s="11" t="s">
        <v>111</v>
      </c>
      <c r="M44" s="15">
        <v>22347.879999999997</v>
      </c>
    </row>
    <row r="45" spans="3:16">
      <c r="I45" s="11" t="s">
        <v>118</v>
      </c>
      <c r="J45" s="12">
        <v>31</v>
      </c>
      <c r="L45" s="11" t="s">
        <v>118</v>
      </c>
      <c r="M45" s="15">
        <v>6633.9199999999992</v>
      </c>
    </row>
    <row r="46" spans="3:16">
      <c r="C46" s="10" t="s">
        <v>94</v>
      </c>
      <c r="D46" s="27" t="s">
        <v>100</v>
      </c>
      <c r="I46" s="11" t="s">
        <v>95</v>
      </c>
      <c r="J46" s="12">
        <v>1349</v>
      </c>
      <c r="L46" s="11" t="s">
        <v>95</v>
      </c>
      <c r="M46" s="12">
        <v>296850.43</v>
      </c>
    </row>
    <row r="47" spans="3:16">
      <c r="C47" s="11" t="s">
        <v>51</v>
      </c>
      <c r="D47" s="12">
        <v>39041.129999999997</v>
      </c>
      <c r="F47" s="11"/>
    </row>
    <row r="48" spans="3:16">
      <c r="C48" s="11" t="s">
        <v>59</v>
      </c>
      <c r="D48" s="12">
        <v>15185.010000000002</v>
      </c>
      <c r="F48" s="11"/>
    </row>
    <row r="49" spans="3:20">
      <c r="C49" s="11" t="s">
        <v>86</v>
      </c>
      <c r="D49" s="12">
        <v>14779.06</v>
      </c>
      <c r="F49" s="11"/>
    </row>
    <row r="50" spans="3:20">
      <c r="C50" s="11" t="s">
        <v>63</v>
      </c>
      <c r="D50" s="12">
        <v>34170.880000000005</v>
      </c>
      <c r="F50" s="11"/>
    </row>
    <row r="51" spans="3:20">
      <c r="C51" s="11" t="s">
        <v>78</v>
      </c>
      <c r="D51" s="12">
        <v>22869.819999999996</v>
      </c>
      <c r="F51" s="10" t="s">
        <v>100</v>
      </c>
      <c r="G51" s="10" t="s">
        <v>126</v>
      </c>
      <c r="N51" s="10" t="s">
        <v>104</v>
      </c>
      <c r="O51" s="10" t="s">
        <v>126</v>
      </c>
    </row>
    <row r="52" spans="3:20">
      <c r="C52" s="11" t="s">
        <v>88</v>
      </c>
      <c r="D52" s="12">
        <v>22821.599999999995</v>
      </c>
      <c r="F52" s="10" t="s">
        <v>94</v>
      </c>
      <c r="G52" t="s">
        <v>48</v>
      </c>
      <c r="H52" t="s">
        <v>82</v>
      </c>
      <c r="I52" t="s">
        <v>52</v>
      </c>
      <c r="J52" t="s">
        <v>66</v>
      </c>
      <c r="K52" t="s">
        <v>56</v>
      </c>
      <c r="L52" t="s">
        <v>95</v>
      </c>
      <c r="N52" s="10" t="s">
        <v>94</v>
      </c>
      <c r="O52" t="s">
        <v>48</v>
      </c>
      <c r="P52" t="s">
        <v>82</v>
      </c>
      <c r="Q52" t="s">
        <v>52</v>
      </c>
      <c r="R52" t="s">
        <v>66</v>
      </c>
      <c r="S52" t="s">
        <v>56</v>
      </c>
      <c r="T52" t="s">
        <v>95</v>
      </c>
    </row>
    <row r="53" spans="3:20">
      <c r="C53" s="11" t="s">
        <v>65</v>
      </c>
      <c r="D53" s="12">
        <v>27592.770000000004</v>
      </c>
      <c r="F53" s="11" t="s">
        <v>58</v>
      </c>
      <c r="G53" s="12">
        <v>11675.07</v>
      </c>
      <c r="H53" s="12">
        <v>7892.46</v>
      </c>
      <c r="I53" s="12">
        <v>8922.32</v>
      </c>
      <c r="J53" s="12">
        <v>16748.299999999996</v>
      </c>
      <c r="K53" s="12">
        <v>7473.68</v>
      </c>
      <c r="L53" s="12">
        <v>52711.829999999994</v>
      </c>
      <c r="N53" s="11">
        <v>0</v>
      </c>
      <c r="O53" s="51">
        <v>3334.16</v>
      </c>
      <c r="P53" s="51">
        <v>2741.62</v>
      </c>
      <c r="Q53" s="51">
        <v>3715.34</v>
      </c>
      <c r="R53" s="51">
        <v>2744.47</v>
      </c>
      <c r="S53" s="51">
        <v>1075.76</v>
      </c>
      <c r="T53" s="51">
        <v>13611.349999999999</v>
      </c>
    </row>
    <row r="54" spans="3:20">
      <c r="C54" s="11" t="s">
        <v>55</v>
      </c>
      <c r="D54" s="12">
        <v>29585.85</v>
      </c>
      <c r="F54" s="11" t="s">
        <v>54</v>
      </c>
      <c r="G54" s="12">
        <v>16110.74</v>
      </c>
      <c r="H54" s="12">
        <v>24841.580000000005</v>
      </c>
      <c r="I54" s="12">
        <v>18920.7</v>
      </c>
      <c r="J54" s="12">
        <v>11052.76</v>
      </c>
      <c r="K54" s="12">
        <v>7610.01</v>
      </c>
      <c r="L54" s="12">
        <v>78535.789999999994</v>
      </c>
      <c r="N54" s="11">
        <v>0.1</v>
      </c>
      <c r="O54" s="51">
        <v>2857.85</v>
      </c>
      <c r="P54" s="51">
        <v>2542.64</v>
      </c>
      <c r="Q54" s="51">
        <v>2247.8599999999997</v>
      </c>
      <c r="R54" s="51">
        <v>2351.81</v>
      </c>
      <c r="S54" s="51">
        <v>2580.4800000000005</v>
      </c>
      <c r="T54" s="51">
        <v>12580.64</v>
      </c>
    </row>
    <row r="55" spans="3:20">
      <c r="C55" s="11" t="s">
        <v>62</v>
      </c>
      <c r="D55" s="12">
        <v>14492.820000000002</v>
      </c>
      <c r="F55" s="11" t="s">
        <v>50</v>
      </c>
      <c r="G55" s="12">
        <v>18925.73</v>
      </c>
      <c r="H55" s="12">
        <v>23829.98</v>
      </c>
      <c r="I55" s="12">
        <v>18988.73</v>
      </c>
      <c r="J55" s="12">
        <v>10020.969999999999</v>
      </c>
      <c r="K55" s="12">
        <v>17738.309999999998</v>
      </c>
      <c r="L55" s="12">
        <v>89503.72</v>
      </c>
      <c r="N55" s="11">
        <v>0.2</v>
      </c>
      <c r="O55" s="51">
        <v>2591.5699999999997</v>
      </c>
      <c r="P55" s="51">
        <v>3812.23</v>
      </c>
      <c r="Q55" s="51">
        <v>2252.15</v>
      </c>
      <c r="R55" s="51">
        <v>3350.05</v>
      </c>
      <c r="S55" s="51">
        <v>3005.98</v>
      </c>
      <c r="T55" s="51">
        <v>15011.98</v>
      </c>
    </row>
    <row r="56" spans="3:20">
      <c r="C56" s="11" t="s">
        <v>72</v>
      </c>
      <c r="D56" s="12">
        <v>35017.540000000008</v>
      </c>
      <c r="F56" s="11" t="s">
        <v>71</v>
      </c>
      <c r="G56" s="12">
        <v>12417.579999999998</v>
      </c>
      <c r="H56" s="12">
        <v>20087.96</v>
      </c>
      <c r="I56" s="12">
        <v>17673.739999999998</v>
      </c>
      <c r="J56" s="12">
        <v>14874.6</v>
      </c>
      <c r="K56" s="12">
        <v>11045.210000000001</v>
      </c>
      <c r="L56" s="12">
        <v>76099.09</v>
      </c>
      <c r="N56" s="11">
        <v>0.25</v>
      </c>
      <c r="O56" s="51">
        <v>960.77</v>
      </c>
      <c r="P56" s="51">
        <v>2561.3000000000002</v>
      </c>
      <c r="Q56" s="51">
        <v>3269.9300000000003</v>
      </c>
      <c r="R56" s="51">
        <v>1954.1499999999999</v>
      </c>
      <c r="S56" s="51">
        <v>2746.1200000000003</v>
      </c>
      <c r="T56" s="51">
        <v>11492.27</v>
      </c>
    </row>
    <row r="57" spans="3:20">
      <c r="C57" s="11" t="s">
        <v>76</v>
      </c>
      <c r="D57" s="12">
        <v>18259.950000000004</v>
      </c>
      <c r="F57" s="11" t="s">
        <v>95</v>
      </c>
      <c r="G57" s="12">
        <v>59129.119999999995</v>
      </c>
      <c r="H57" s="12">
        <v>76651.98000000001</v>
      </c>
      <c r="I57" s="12">
        <v>64505.49</v>
      </c>
      <c r="J57" s="12">
        <v>52696.63</v>
      </c>
      <c r="K57" s="12">
        <v>43867.21</v>
      </c>
      <c r="L57" s="12">
        <v>296850.43</v>
      </c>
      <c r="N57" s="11">
        <v>0.3</v>
      </c>
      <c r="O57" s="51">
        <v>2797.3999999999996</v>
      </c>
      <c r="P57" s="51">
        <v>3360.7200000000003</v>
      </c>
      <c r="Q57" s="51">
        <v>2003.9899999999998</v>
      </c>
      <c r="R57" s="51">
        <v>1381.7900000000002</v>
      </c>
      <c r="S57" s="51">
        <v>2586.98</v>
      </c>
      <c r="T57" s="51">
        <v>12130.88</v>
      </c>
    </row>
    <row r="58" spans="3:20">
      <c r="C58" s="11" t="s">
        <v>68</v>
      </c>
      <c r="D58" s="12">
        <v>23034</v>
      </c>
      <c r="N58" s="11" t="s">
        <v>95</v>
      </c>
      <c r="O58" s="51">
        <v>12541.75</v>
      </c>
      <c r="P58" s="51">
        <v>15018.510000000002</v>
      </c>
      <c r="Q58" s="51">
        <v>13489.27</v>
      </c>
      <c r="R58" s="51">
        <v>11782.27</v>
      </c>
      <c r="S58" s="51">
        <v>11995.320000000002</v>
      </c>
      <c r="T58" s="51">
        <v>64827.12</v>
      </c>
    </row>
    <row r="59" spans="3:20">
      <c r="C59" s="11" t="s">
        <v>95</v>
      </c>
      <c r="D59" s="12">
        <v>296850.43000000005</v>
      </c>
    </row>
    <row r="61" spans="3:20">
      <c r="F61" s="10" t="s">
        <v>94</v>
      </c>
      <c r="G61" s="27" t="s">
        <v>102</v>
      </c>
    </row>
    <row r="62" spans="3:20">
      <c r="F62" s="11" t="s">
        <v>61</v>
      </c>
      <c r="G62" s="12">
        <v>77</v>
      </c>
    </row>
    <row r="63" spans="3:20">
      <c r="F63" s="11" t="s">
        <v>83</v>
      </c>
      <c r="G63" s="12">
        <v>74</v>
      </c>
    </row>
    <row r="64" spans="3:20">
      <c r="F64" s="11" t="s">
        <v>87</v>
      </c>
      <c r="G64" s="12">
        <v>74</v>
      </c>
    </row>
    <row r="65" spans="6:7">
      <c r="F65" s="11" t="s">
        <v>90</v>
      </c>
      <c r="G65" s="12">
        <v>73</v>
      </c>
    </row>
    <row r="66" spans="6:7">
      <c r="F66" s="11" t="s">
        <v>73</v>
      </c>
      <c r="G66" s="12">
        <v>73</v>
      </c>
    </row>
    <row r="67" spans="6:7">
      <c r="F67" s="11" t="s">
        <v>74</v>
      </c>
      <c r="G67" s="12">
        <v>67</v>
      </c>
    </row>
    <row r="68" spans="6:7">
      <c r="F68" s="11" t="s">
        <v>53</v>
      </c>
      <c r="G68" s="12">
        <v>66</v>
      </c>
    </row>
    <row r="69" spans="6:7">
      <c r="F69" s="11" t="s">
        <v>67</v>
      </c>
      <c r="G69" s="12">
        <v>61</v>
      </c>
    </row>
    <row r="70" spans="6:7">
      <c r="F70" s="11" t="s">
        <v>85</v>
      </c>
      <c r="G70" s="12">
        <v>60</v>
      </c>
    </row>
    <row r="71" spans="6:7">
      <c r="F71" s="11" t="s">
        <v>81</v>
      </c>
      <c r="G71" s="12">
        <v>58</v>
      </c>
    </row>
    <row r="72" spans="6:7">
      <c r="F72" s="11" t="s">
        <v>57</v>
      </c>
      <c r="G72" s="12">
        <v>53</v>
      </c>
    </row>
    <row r="73" spans="6:7">
      <c r="F73" s="11" t="s">
        <v>89</v>
      </c>
      <c r="G73" s="12">
        <v>53</v>
      </c>
    </row>
    <row r="74" spans="6:7">
      <c r="F74" s="11" t="s">
        <v>93</v>
      </c>
      <c r="G74" s="12">
        <v>52</v>
      </c>
    </row>
    <row r="75" spans="6:7">
      <c r="F75" s="11" t="s">
        <v>92</v>
      </c>
      <c r="G75" s="12">
        <v>52</v>
      </c>
    </row>
    <row r="76" spans="6:7">
      <c r="F76" s="11" t="s">
        <v>70</v>
      </c>
      <c r="G76" s="12">
        <v>51</v>
      </c>
    </row>
    <row r="77" spans="6:7">
      <c r="F77" s="11" t="s">
        <v>75</v>
      </c>
      <c r="G77" s="12">
        <v>48</v>
      </c>
    </row>
    <row r="78" spans="6:7">
      <c r="F78" s="11" t="s">
        <v>79</v>
      </c>
      <c r="G78" s="12">
        <v>45</v>
      </c>
    </row>
    <row r="79" spans="6:7">
      <c r="F79" s="11" t="s">
        <v>84</v>
      </c>
      <c r="G79" s="12">
        <v>45</v>
      </c>
    </row>
    <row r="80" spans="6:7">
      <c r="F80" s="11" t="s">
        <v>69</v>
      </c>
      <c r="G80" s="12">
        <v>43</v>
      </c>
    </row>
    <row r="81" spans="6:7">
      <c r="F81" s="11" t="s">
        <v>91</v>
      </c>
      <c r="G81" s="12">
        <v>41</v>
      </c>
    </row>
    <row r="82" spans="6:7">
      <c r="F82" s="11" t="s">
        <v>49</v>
      </c>
      <c r="G82" s="12">
        <v>41</v>
      </c>
    </row>
    <row r="83" spans="6:7">
      <c r="F83" s="11" t="s">
        <v>64</v>
      </c>
      <c r="G83" s="12">
        <v>39</v>
      </c>
    </row>
    <row r="84" spans="6:7">
      <c r="F84" s="11" t="s">
        <v>80</v>
      </c>
      <c r="G84" s="12">
        <v>39</v>
      </c>
    </row>
    <row r="85" spans="6:7">
      <c r="F85" s="11" t="s">
        <v>60</v>
      </c>
      <c r="G85" s="12">
        <v>32</v>
      </c>
    </row>
    <row r="86" spans="6:7">
      <c r="F86" s="11" t="s">
        <v>77</v>
      </c>
      <c r="G86" s="12">
        <v>32</v>
      </c>
    </row>
    <row r="87" spans="6:7">
      <c r="F87" s="11" t="s">
        <v>95</v>
      </c>
      <c r="G87" s="12">
        <v>1349</v>
      </c>
    </row>
  </sheetData>
  <mergeCells count="2">
    <mergeCell ref="B3:D3"/>
    <mergeCell ref="K16:M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3"/>
  <sheetViews>
    <sheetView tabSelected="1" zoomScale="40" zoomScaleNormal="40" workbookViewId="0">
      <selection activeCell="Q4" sqref="Q4:R4"/>
    </sheetView>
  </sheetViews>
  <sheetFormatPr defaultRowHeight="14.5"/>
  <sheetData>
    <row r="1" spans="2:31" ht="15" thickBot="1"/>
    <row r="2" spans="2:31" ht="15" thickBot="1">
      <c r="B2" s="62" t="s">
        <v>129</v>
      </c>
      <c r="C2" s="60"/>
      <c r="D2" s="60"/>
      <c r="E2" s="60"/>
      <c r="F2" s="61"/>
      <c r="J2" s="63" t="s">
        <v>120</v>
      </c>
      <c r="K2" s="64"/>
      <c r="L2" s="64"/>
      <c r="M2" s="64"/>
      <c r="O2" s="63" t="s">
        <v>121</v>
      </c>
      <c r="P2" s="64"/>
      <c r="Q2" s="64"/>
      <c r="R2" s="64"/>
    </row>
    <row r="3" spans="2:31">
      <c r="B3" s="52" t="s">
        <v>96</v>
      </c>
      <c r="C3" s="53"/>
      <c r="D3" s="56" t="s">
        <v>97</v>
      </c>
      <c r="E3" s="56"/>
      <c r="F3" s="57"/>
      <c r="J3" s="65" t="str">
        <f>pivot!L37</f>
        <v>Mar</v>
      </c>
      <c r="K3" s="65"/>
      <c r="L3" s="65">
        <f>GETPIVOTDATA("Total_Price",pivot!$L$36,"Month","Mar")</f>
        <v>50954.41</v>
      </c>
      <c r="M3" s="65"/>
      <c r="O3" s="66" t="s">
        <v>122</v>
      </c>
      <c r="P3" s="68" t="str">
        <f>pivot!I37</f>
        <v>Mar</v>
      </c>
      <c r="Q3" s="67">
        <f>GETPIVOTDATA("Quantity",pivot!$I$36,"Months",3)</f>
        <v>230</v>
      </c>
      <c r="R3" s="67"/>
    </row>
    <row r="4" spans="2:31" ht="15" thickBot="1">
      <c r="B4" s="54" t="str">
        <f>pivot!F62</f>
        <v>Cookbook</v>
      </c>
      <c r="C4" s="55">
        <f>GETPIVOTDATA("Quantity",pivot!$F$61,"Product","Cookbook")</f>
        <v>77</v>
      </c>
      <c r="D4" s="58"/>
      <c r="E4" s="58" t="str">
        <f>pivot!F86</f>
        <v>Rug</v>
      </c>
      <c r="F4" s="59">
        <f>GETPIVOTDATA("Quantity",pivot!$F$61,"Product","Rug")</f>
        <v>32</v>
      </c>
      <c r="J4" s="65"/>
      <c r="K4" s="65"/>
      <c r="L4" s="65"/>
      <c r="M4" s="65"/>
      <c r="O4" s="66" t="s">
        <v>123</v>
      </c>
      <c r="P4" s="68" t="str">
        <f>pivot!I45</f>
        <v>Sep</v>
      </c>
      <c r="Q4" s="67">
        <f>GETPIVOTDATA("Quantity",pivot!$I$36,"Months",9)</f>
        <v>31</v>
      </c>
      <c r="R4" s="67"/>
    </row>
    <row r="6" spans="2:31" ht="15" thickBot="1"/>
    <row r="7" spans="2:31" ht="14.5" customHeight="1">
      <c r="B7" s="45" t="s">
        <v>7</v>
      </c>
      <c r="C7" s="46"/>
      <c r="D7" s="46"/>
      <c r="E7" s="46"/>
      <c r="F7" s="46"/>
      <c r="G7" s="46"/>
      <c r="H7" s="47"/>
      <c r="J7" s="45" t="s">
        <v>101</v>
      </c>
      <c r="K7" s="46"/>
      <c r="L7" s="46"/>
      <c r="M7" s="46"/>
      <c r="N7" s="46"/>
      <c r="O7" s="47"/>
      <c r="Q7" s="39" t="s">
        <v>105</v>
      </c>
      <c r="R7" s="40"/>
      <c r="S7" s="40"/>
      <c r="T7" s="40"/>
      <c r="U7" s="40"/>
      <c r="V7" s="40"/>
      <c r="W7" s="41"/>
      <c r="Y7" s="39" t="s">
        <v>125</v>
      </c>
      <c r="Z7" s="40"/>
      <c r="AA7" s="40"/>
      <c r="AB7" s="40"/>
      <c r="AC7" s="40"/>
      <c r="AD7" s="40"/>
      <c r="AE7" s="41"/>
    </row>
    <row r="8" spans="2:31" ht="15" thickBot="1">
      <c r="B8" s="48"/>
      <c r="C8" s="49"/>
      <c r="D8" s="49"/>
      <c r="E8" s="49"/>
      <c r="F8" s="49"/>
      <c r="G8" s="49"/>
      <c r="H8" s="50"/>
      <c r="J8" s="48"/>
      <c r="K8" s="49"/>
      <c r="L8" s="49"/>
      <c r="M8" s="49"/>
      <c r="N8" s="49"/>
      <c r="O8" s="50"/>
      <c r="Q8" s="42"/>
      <c r="R8" s="43"/>
      <c r="S8" s="43"/>
      <c r="T8" s="43"/>
      <c r="U8" s="43"/>
      <c r="V8" s="43"/>
      <c r="W8" s="44"/>
      <c r="Y8" s="42"/>
      <c r="Z8" s="43"/>
      <c r="AA8" s="43"/>
      <c r="AB8" s="43"/>
      <c r="AC8" s="43"/>
      <c r="AD8" s="43"/>
      <c r="AE8" s="44"/>
    </row>
    <row r="23" spans="2:32" ht="15" thickBot="1"/>
    <row r="24" spans="2:32" ht="14.5" customHeight="1">
      <c r="B24" s="39" t="s">
        <v>106</v>
      </c>
      <c r="C24" s="40"/>
      <c r="D24" s="40"/>
      <c r="E24" s="40"/>
      <c r="F24" s="40"/>
      <c r="G24" s="40"/>
      <c r="H24" s="41"/>
      <c r="J24" s="45" t="s">
        <v>107</v>
      </c>
      <c r="K24" s="40"/>
      <c r="L24" s="40"/>
      <c r="M24" s="40"/>
      <c r="N24" s="40"/>
      <c r="O24" s="41"/>
      <c r="Q24" s="45" t="s">
        <v>109</v>
      </c>
      <c r="R24" s="46"/>
      <c r="S24" s="46"/>
      <c r="T24" s="46"/>
      <c r="U24" s="46"/>
      <c r="V24" s="46"/>
      <c r="W24" s="47"/>
      <c r="Y24" s="45" t="s">
        <v>109</v>
      </c>
      <c r="Z24" s="46"/>
      <c r="AA24" s="46"/>
      <c r="AB24" s="46"/>
      <c r="AC24" s="46"/>
      <c r="AD24" s="46"/>
      <c r="AE24" s="46"/>
      <c r="AF24" s="47"/>
    </row>
    <row r="25" spans="2:32" ht="15" customHeight="1" thickBot="1">
      <c r="B25" s="42"/>
      <c r="C25" s="43"/>
      <c r="D25" s="43"/>
      <c r="E25" s="43"/>
      <c r="F25" s="43"/>
      <c r="G25" s="43"/>
      <c r="H25" s="44"/>
      <c r="J25" s="42"/>
      <c r="K25" s="43"/>
      <c r="L25" s="43"/>
      <c r="M25" s="43"/>
      <c r="N25" s="43"/>
      <c r="O25" s="44"/>
      <c r="Q25" s="48"/>
      <c r="R25" s="49"/>
      <c r="S25" s="49"/>
      <c r="T25" s="49"/>
      <c r="U25" s="49"/>
      <c r="V25" s="49"/>
      <c r="W25" s="50"/>
      <c r="Y25" s="48"/>
      <c r="Z25" s="49"/>
      <c r="AA25" s="49"/>
      <c r="AB25" s="49"/>
      <c r="AC25" s="49"/>
      <c r="AD25" s="49"/>
      <c r="AE25" s="49"/>
      <c r="AF25" s="50"/>
    </row>
    <row r="41" spans="2:24" ht="15" thickBot="1"/>
    <row r="42" spans="2:24">
      <c r="B42" s="39" t="s">
        <v>124</v>
      </c>
      <c r="C42" s="40"/>
      <c r="D42" s="40"/>
      <c r="E42" s="40"/>
      <c r="F42" s="40"/>
      <c r="G42" s="40"/>
      <c r="H42" s="41"/>
      <c r="J42" s="39" t="s">
        <v>127</v>
      </c>
      <c r="K42" s="40"/>
      <c r="L42" s="40"/>
      <c r="M42" s="40"/>
      <c r="N42" s="40"/>
      <c r="O42" s="40"/>
      <c r="P42" s="41"/>
      <c r="R42" s="39" t="s">
        <v>128</v>
      </c>
      <c r="S42" s="40"/>
      <c r="T42" s="40"/>
      <c r="U42" s="40"/>
      <c r="V42" s="40"/>
      <c r="W42" s="40"/>
      <c r="X42" s="41"/>
    </row>
    <row r="43" spans="2:24" ht="15" thickBot="1">
      <c r="B43" s="42"/>
      <c r="C43" s="43"/>
      <c r="D43" s="43"/>
      <c r="E43" s="43"/>
      <c r="F43" s="43"/>
      <c r="G43" s="43"/>
      <c r="H43" s="44"/>
      <c r="J43" s="42"/>
      <c r="K43" s="43"/>
      <c r="L43" s="43"/>
      <c r="M43" s="43"/>
      <c r="N43" s="43"/>
      <c r="O43" s="43"/>
      <c r="P43" s="44"/>
      <c r="R43" s="42"/>
      <c r="S43" s="43"/>
      <c r="T43" s="43"/>
      <c r="U43" s="43"/>
      <c r="V43" s="43"/>
      <c r="W43" s="43"/>
      <c r="X43" s="44"/>
    </row>
  </sheetData>
  <mergeCells count="20">
    <mergeCell ref="B3:C3"/>
    <mergeCell ref="B2:F2"/>
    <mergeCell ref="B7:H8"/>
    <mergeCell ref="Y24:AF25"/>
    <mergeCell ref="D3:F3"/>
    <mergeCell ref="J2:M2"/>
    <mergeCell ref="J3:K4"/>
    <mergeCell ref="L3:M4"/>
    <mergeCell ref="O2:R2"/>
    <mergeCell ref="Q3:R3"/>
    <mergeCell ref="Q4:R4"/>
    <mergeCell ref="B42:H43"/>
    <mergeCell ref="Q24:W25"/>
    <mergeCell ref="Y7:AE8"/>
    <mergeCell ref="J42:P43"/>
    <mergeCell ref="R42:X43"/>
    <mergeCell ref="B24:H25"/>
    <mergeCell ref="J24:O25"/>
    <mergeCell ref="J7:O8"/>
    <mergeCell ref="Q7:W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238" workbookViewId="0">
      <selection sqref="A1:L251"/>
    </sheetView>
  </sheetViews>
  <sheetFormatPr defaultColWidth="14.453125" defaultRowHeight="15" customHeight="1"/>
  <cols>
    <col min="1" max="1" width="10.81640625" customWidth="1"/>
    <col min="2" max="2" width="14.81640625" customWidth="1"/>
    <col min="3" max="3" width="13.7265625" customWidth="1"/>
    <col min="4" max="4" width="7" customWidth="1"/>
    <col min="5" max="5" width="14.08984375" customWidth="1"/>
    <col min="6" max="6" width="8.54296875" customWidth="1"/>
    <col min="7" max="7" width="10" customWidth="1"/>
    <col min="8" max="8" width="8.54296875" customWidth="1"/>
    <col min="9" max="9" width="10.54296875" customWidth="1"/>
    <col min="10" max="10" width="15.81640625" customWidth="1"/>
    <col min="11" max="26" width="8.7265625" customWidth="1"/>
  </cols>
  <sheetData>
    <row r="1" spans="1:26" ht="14.5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7" t="s">
        <v>98</v>
      </c>
      <c r="L1" s="28" t="s">
        <v>119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>
      <c r="A2" s="8">
        <v>44927</v>
      </c>
      <c r="B2" s="9" t="s">
        <v>48</v>
      </c>
      <c r="C2" s="9" t="s">
        <v>49</v>
      </c>
      <c r="D2" s="9" t="s">
        <v>50</v>
      </c>
      <c r="E2" s="9" t="s">
        <v>51</v>
      </c>
      <c r="F2" s="9">
        <v>5</v>
      </c>
      <c r="G2" s="9">
        <v>377.29</v>
      </c>
      <c r="H2" s="9">
        <v>0</v>
      </c>
      <c r="I2" s="9">
        <v>1886.47</v>
      </c>
      <c r="J2" s="9">
        <v>5</v>
      </c>
      <c r="K2">
        <f>I2-(G2*F2*0.7)</f>
        <v>565.95500000000015</v>
      </c>
      <c r="L2" t="str">
        <f>TEXT(A2,"MMM")</f>
        <v>Jan</v>
      </c>
    </row>
    <row r="3" spans="1:26" ht="14.5">
      <c r="A3" s="8">
        <v>44927</v>
      </c>
      <c r="B3" s="9" t="s">
        <v>52</v>
      </c>
      <c r="C3" s="9" t="s">
        <v>53</v>
      </c>
      <c r="D3" s="9" t="s">
        <v>54</v>
      </c>
      <c r="E3" s="9" t="s">
        <v>55</v>
      </c>
      <c r="F3" s="9">
        <v>7</v>
      </c>
      <c r="G3" s="9">
        <v>399.2</v>
      </c>
      <c r="H3" s="9">
        <v>0</v>
      </c>
      <c r="I3" s="9">
        <v>2794.41</v>
      </c>
      <c r="J3" s="9">
        <v>5</v>
      </c>
      <c r="K3">
        <f t="shared" ref="K3:K66" si="0">I3-(G3*F3*H3)</f>
        <v>2794.41</v>
      </c>
      <c r="L3" t="str">
        <f t="shared" ref="L3:L66" si="1">TEXT(A3,"MMM")</f>
        <v>Jan</v>
      </c>
    </row>
    <row r="4" spans="1:26" ht="14.5">
      <c r="A4" s="8">
        <v>44927</v>
      </c>
      <c r="B4" s="9" t="s">
        <v>56</v>
      </c>
      <c r="C4" s="9" t="s">
        <v>57</v>
      </c>
      <c r="D4" s="9" t="s">
        <v>58</v>
      </c>
      <c r="E4" s="9" t="s">
        <v>59</v>
      </c>
      <c r="F4" s="9">
        <v>1</v>
      </c>
      <c r="G4" s="9">
        <v>309.2</v>
      </c>
      <c r="H4" s="9">
        <v>0.3</v>
      </c>
      <c r="I4" s="9">
        <v>216.44</v>
      </c>
      <c r="J4" s="9">
        <v>5</v>
      </c>
      <c r="K4">
        <f t="shared" si="0"/>
        <v>123.68</v>
      </c>
      <c r="L4" t="str">
        <f t="shared" si="1"/>
        <v>Jan</v>
      </c>
    </row>
    <row r="5" spans="1:26" ht="14.5">
      <c r="A5" s="8">
        <v>44929</v>
      </c>
      <c r="B5" s="9" t="s">
        <v>48</v>
      </c>
      <c r="C5" s="9" t="s">
        <v>60</v>
      </c>
      <c r="D5" s="9" t="s">
        <v>54</v>
      </c>
      <c r="E5" s="9" t="s">
        <v>55</v>
      </c>
      <c r="F5" s="9">
        <v>8</v>
      </c>
      <c r="G5" s="9">
        <v>421.82</v>
      </c>
      <c r="H5" s="9">
        <v>0.2</v>
      </c>
      <c r="I5" s="9">
        <v>2699.62</v>
      </c>
      <c r="J5" s="9">
        <v>3</v>
      </c>
      <c r="K5">
        <f t="shared" si="0"/>
        <v>2024.7079999999999</v>
      </c>
      <c r="L5" t="str">
        <f t="shared" si="1"/>
        <v>Jan</v>
      </c>
    </row>
    <row r="6" spans="1:26" ht="14.5">
      <c r="A6" s="8">
        <v>44929</v>
      </c>
      <c r="B6" s="9" t="s">
        <v>48</v>
      </c>
      <c r="C6" s="9" t="s">
        <v>61</v>
      </c>
      <c r="D6" s="9" t="s">
        <v>58</v>
      </c>
      <c r="E6" s="9" t="s">
        <v>62</v>
      </c>
      <c r="F6" s="9">
        <v>8</v>
      </c>
      <c r="G6" s="9">
        <v>415.69</v>
      </c>
      <c r="H6" s="9">
        <v>0.3</v>
      </c>
      <c r="I6" s="9">
        <v>2327.87</v>
      </c>
      <c r="J6" s="9">
        <v>5</v>
      </c>
      <c r="K6">
        <f t="shared" si="0"/>
        <v>1330.2139999999999</v>
      </c>
      <c r="L6" t="str">
        <f t="shared" si="1"/>
        <v>Jan</v>
      </c>
    </row>
    <row r="7" spans="1:26" ht="14.5">
      <c r="A7" s="8">
        <v>44929</v>
      </c>
      <c r="B7" s="9" t="s">
        <v>56</v>
      </c>
      <c r="C7" s="9" t="s">
        <v>57</v>
      </c>
      <c r="D7" s="9" t="s">
        <v>54</v>
      </c>
      <c r="E7" s="9" t="s">
        <v>63</v>
      </c>
      <c r="F7" s="9">
        <v>9</v>
      </c>
      <c r="G7" s="9">
        <v>155.16999999999999</v>
      </c>
      <c r="H7" s="9">
        <v>0.3</v>
      </c>
      <c r="I7" s="9">
        <v>977.6</v>
      </c>
      <c r="J7" s="9">
        <v>3</v>
      </c>
      <c r="K7">
        <f t="shared" si="0"/>
        <v>558.64100000000008</v>
      </c>
      <c r="L7" t="str">
        <f t="shared" si="1"/>
        <v>Jan</v>
      </c>
    </row>
    <row r="8" spans="1:26" ht="14.5">
      <c r="A8" s="8">
        <v>44932</v>
      </c>
      <c r="B8" s="9" t="s">
        <v>56</v>
      </c>
      <c r="C8" s="9" t="s">
        <v>64</v>
      </c>
      <c r="D8" s="9" t="s">
        <v>50</v>
      </c>
      <c r="E8" s="9" t="s">
        <v>65</v>
      </c>
      <c r="F8" s="9">
        <v>9</v>
      </c>
      <c r="G8" s="9">
        <v>299.08</v>
      </c>
      <c r="H8" s="9">
        <v>0.3</v>
      </c>
      <c r="I8" s="9">
        <v>1884.19</v>
      </c>
      <c r="J8" s="9">
        <v>5</v>
      </c>
      <c r="K8">
        <f t="shared" si="0"/>
        <v>1076.674</v>
      </c>
      <c r="L8" t="str">
        <f t="shared" si="1"/>
        <v>Jan</v>
      </c>
    </row>
    <row r="9" spans="1:26" ht="14.5">
      <c r="A9" s="8">
        <v>44934</v>
      </c>
      <c r="B9" s="9" t="s">
        <v>66</v>
      </c>
      <c r="C9" s="9" t="s">
        <v>67</v>
      </c>
      <c r="D9" s="9" t="s">
        <v>58</v>
      </c>
      <c r="E9" s="9" t="s">
        <v>68</v>
      </c>
      <c r="F9" s="9">
        <v>4</v>
      </c>
      <c r="G9" s="9">
        <v>363.9</v>
      </c>
      <c r="H9" s="9">
        <v>0.1</v>
      </c>
      <c r="I9" s="9">
        <v>1310.05</v>
      </c>
      <c r="J9" s="9">
        <v>4</v>
      </c>
      <c r="K9">
        <f t="shared" si="0"/>
        <v>1164.49</v>
      </c>
      <c r="L9" t="str">
        <f t="shared" si="1"/>
        <v>Jan</v>
      </c>
    </row>
    <row r="10" spans="1:26" ht="14.5">
      <c r="A10" s="8">
        <v>44935</v>
      </c>
      <c r="B10" s="9" t="s">
        <v>52</v>
      </c>
      <c r="C10" s="9" t="s">
        <v>53</v>
      </c>
      <c r="D10" s="9" t="s">
        <v>50</v>
      </c>
      <c r="E10" s="9" t="s">
        <v>51</v>
      </c>
      <c r="F10" s="9">
        <v>9</v>
      </c>
      <c r="G10" s="9">
        <v>181.11</v>
      </c>
      <c r="H10" s="9">
        <v>0.2</v>
      </c>
      <c r="I10" s="9">
        <v>1304.01</v>
      </c>
      <c r="J10" s="9">
        <v>4</v>
      </c>
      <c r="K10">
        <f t="shared" si="0"/>
        <v>978.01199999999994</v>
      </c>
      <c r="L10" t="str">
        <f t="shared" si="1"/>
        <v>Jan</v>
      </c>
    </row>
    <row r="11" spans="1:26" ht="14.5">
      <c r="A11" s="8">
        <v>44936</v>
      </c>
      <c r="B11" s="9" t="s">
        <v>66</v>
      </c>
      <c r="C11" s="9" t="s">
        <v>69</v>
      </c>
      <c r="D11" s="9" t="s">
        <v>50</v>
      </c>
      <c r="E11" s="9" t="s">
        <v>51</v>
      </c>
      <c r="F11" s="9">
        <v>9</v>
      </c>
      <c r="G11" s="9">
        <v>159.34</v>
      </c>
      <c r="H11" s="9">
        <v>0.2</v>
      </c>
      <c r="I11" s="9">
        <v>1147.27</v>
      </c>
      <c r="J11" s="9">
        <v>3</v>
      </c>
      <c r="K11">
        <f t="shared" si="0"/>
        <v>860.45799999999997</v>
      </c>
      <c r="L11" t="str">
        <f t="shared" si="1"/>
        <v>Jan</v>
      </c>
    </row>
    <row r="12" spans="1:26" ht="14.5">
      <c r="A12" s="8">
        <v>44941</v>
      </c>
      <c r="B12" s="9" t="s">
        <v>56</v>
      </c>
      <c r="C12" s="9" t="s">
        <v>70</v>
      </c>
      <c r="D12" s="9" t="s">
        <v>71</v>
      </c>
      <c r="E12" s="9" t="s">
        <v>72</v>
      </c>
      <c r="F12" s="9">
        <v>5</v>
      </c>
      <c r="G12" s="9">
        <v>442.91</v>
      </c>
      <c r="H12" s="9">
        <v>0.25</v>
      </c>
      <c r="I12" s="9">
        <v>1660.92</v>
      </c>
      <c r="J12" s="9">
        <v>3</v>
      </c>
      <c r="K12">
        <f t="shared" si="0"/>
        <v>1107.2825</v>
      </c>
      <c r="L12" t="str">
        <f t="shared" si="1"/>
        <v>Jan</v>
      </c>
    </row>
    <row r="13" spans="1:26" ht="14.5">
      <c r="A13" s="8">
        <v>44941</v>
      </c>
      <c r="B13" s="9" t="s">
        <v>52</v>
      </c>
      <c r="C13" s="9" t="s">
        <v>73</v>
      </c>
      <c r="D13" s="9" t="s">
        <v>50</v>
      </c>
      <c r="E13" s="9" t="s">
        <v>51</v>
      </c>
      <c r="F13" s="9">
        <v>5</v>
      </c>
      <c r="G13" s="9">
        <v>22.92</v>
      </c>
      <c r="H13" s="9">
        <v>0</v>
      </c>
      <c r="I13" s="9">
        <v>114.6</v>
      </c>
      <c r="J13" s="9">
        <v>5</v>
      </c>
      <c r="K13">
        <f t="shared" si="0"/>
        <v>114.6</v>
      </c>
      <c r="L13" t="str">
        <f t="shared" si="1"/>
        <v>Jan</v>
      </c>
    </row>
    <row r="14" spans="1:26" ht="14.5">
      <c r="A14" s="8">
        <v>44942</v>
      </c>
      <c r="B14" s="9" t="s">
        <v>56</v>
      </c>
      <c r="C14" s="9" t="s">
        <v>74</v>
      </c>
      <c r="D14" s="9" t="s">
        <v>54</v>
      </c>
      <c r="E14" s="9" t="s">
        <v>63</v>
      </c>
      <c r="F14" s="9">
        <v>5</v>
      </c>
      <c r="G14" s="9">
        <v>133.97</v>
      </c>
      <c r="H14" s="9">
        <v>0.2</v>
      </c>
      <c r="I14" s="9">
        <v>535.86</v>
      </c>
      <c r="J14" s="9">
        <v>4</v>
      </c>
      <c r="K14">
        <f t="shared" si="0"/>
        <v>401.89</v>
      </c>
      <c r="L14" t="str">
        <f t="shared" si="1"/>
        <v>Jan</v>
      </c>
    </row>
    <row r="15" spans="1:26" ht="14.5">
      <c r="A15" s="8">
        <v>44943</v>
      </c>
      <c r="B15" s="9" t="s">
        <v>52</v>
      </c>
      <c r="C15" s="9" t="s">
        <v>75</v>
      </c>
      <c r="D15" s="9" t="s">
        <v>54</v>
      </c>
      <c r="E15" s="9" t="s">
        <v>55</v>
      </c>
      <c r="F15" s="9">
        <v>4</v>
      </c>
      <c r="G15" s="9">
        <v>326.5</v>
      </c>
      <c r="H15" s="9">
        <v>0.1</v>
      </c>
      <c r="I15" s="9">
        <v>1175.4000000000001</v>
      </c>
      <c r="J15" s="9">
        <v>4</v>
      </c>
      <c r="K15">
        <f t="shared" si="0"/>
        <v>1044.8000000000002</v>
      </c>
      <c r="L15" t="str">
        <f t="shared" si="1"/>
        <v>Jan</v>
      </c>
    </row>
    <row r="16" spans="1:26" ht="14.5">
      <c r="A16" s="8">
        <v>44944</v>
      </c>
      <c r="B16" s="9" t="s">
        <v>66</v>
      </c>
      <c r="C16" s="9" t="s">
        <v>67</v>
      </c>
      <c r="D16" s="9" t="s">
        <v>71</v>
      </c>
      <c r="E16" s="9" t="s">
        <v>76</v>
      </c>
      <c r="F16" s="9">
        <v>7</v>
      </c>
      <c r="G16" s="9">
        <v>333.39</v>
      </c>
      <c r="H16" s="9">
        <v>0.1</v>
      </c>
      <c r="I16" s="9">
        <v>2100.37</v>
      </c>
      <c r="J16" s="9">
        <v>3</v>
      </c>
      <c r="K16">
        <f t="shared" si="0"/>
        <v>1866.9969999999998</v>
      </c>
      <c r="L16" t="str">
        <f t="shared" si="1"/>
        <v>Jan</v>
      </c>
    </row>
    <row r="17" spans="1:12" ht="14.5">
      <c r="A17" s="8">
        <v>44945</v>
      </c>
      <c r="B17" s="9" t="s">
        <v>66</v>
      </c>
      <c r="C17" s="9" t="s">
        <v>77</v>
      </c>
      <c r="D17" s="9" t="s">
        <v>54</v>
      </c>
      <c r="E17" s="9" t="s">
        <v>63</v>
      </c>
      <c r="F17" s="9">
        <v>3</v>
      </c>
      <c r="G17" s="9">
        <v>195.6</v>
      </c>
      <c r="H17" s="9">
        <v>0.3</v>
      </c>
      <c r="I17" s="9">
        <v>410.76</v>
      </c>
      <c r="J17" s="9">
        <v>5</v>
      </c>
      <c r="K17">
        <f t="shared" si="0"/>
        <v>234.72</v>
      </c>
      <c r="L17" t="str">
        <f t="shared" si="1"/>
        <v>Jan</v>
      </c>
    </row>
    <row r="18" spans="1:12" ht="14.5">
      <c r="A18" s="8">
        <v>44947</v>
      </c>
      <c r="B18" s="9" t="s">
        <v>48</v>
      </c>
      <c r="C18" s="9" t="s">
        <v>60</v>
      </c>
      <c r="D18" s="9" t="s">
        <v>50</v>
      </c>
      <c r="E18" s="9" t="s">
        <v>78</v>
      </c>
      <c r="F18" s="9">
        <v>1</v>
      </c>
      <c r="G18" s="9">
        <v>280.43</v>
      </c>
      <c r="H18" s="9">
        <v>0.3</v>
      </c>
      <c r="I18" s="9">
        <v>196.3</v>
      </c>
      <c r="J18" s="9">
        <v>5</v>
      </c>
      <c r="K18">
        <f t="shared" si="0"/>
        <v>112.17100000000001</v>
      </c>
      <c r="L18" t="str">
        <f t="shared" si="1"/>
        <v>Jan</v>
      </c>
    </row>
    <row r="19" spans="1:12" ht="14.5">
      <c r="A19" s="8">
        <v>44947</v>
      </c>
      <c r="B19" s="9" t="s">
        <v>56</v>
      </c>
      <c r="C19" s="9" t="s">
        <v>79</v>
      </c>
      <c r="D19" s="9" t="s">
        <v>71</v>
      </c>
      <c r="E19" s="9" t="s">
        <v>76</v>
      </c>
      <c r="F19" s="9">
        <v>1</v>
      </c>
      <c r="G19" s="9">
        <v>237.69</v>
      </c>
      <c r="H19" s="9">
        <v>0.3</v>
      </c>
      <c r="I19" s="9">
        <v>166.38</v>
      </c>
      <c r="J19" s="9">
        <v>4</v>
      </c>
      <c r="K19">
        <f t="shared" si="0"/>
        <v>95.072999999999993</v>
      </c>
      <c r="L19" t="str">
        <f t="shared" si="1"/>
        <v>Jan</v>
      </c>
    </row>
    <row r="20" spans="1:12" ht="14.5">
      <c r="A20" s="8">
        <v>44947</v>
      </c>
      <c r="B20" s="9" t="s">
        <v>66</v>
      </c>
      <c r="C20" s="9" t="s">
        <v>77</v>
      </c>
      <c r="D20" s="9" t="s">
        <v>54</v>
      </c>
      <c r="E20" s="9" t="s">
        <v>63</v>
      </c>
      <c r="F20" s="9">
        <v>5</v>
      </c>
      <c r="G20" s="9">
        <v>56.14</v>
      </c>
      <c r="H20" s="9">
        <v>0.25</v>
      </c>
      <c r="I20" s="9">
        <v>210.51</v>
      </c>
      <c r="J20" s="9">
        <v>5</v>
      </c>
      <c r="K20">
        <f t="shared" si="0"/>
        <v>140.33499999999998</v>
      </c>
      <c r="L20" t="str">
        <f t="shared" si="1"/>
        <v>Jan</v>
      </c>
    </row>
    <row r="21" spans="1:12" ht="15.75" customHeight="1">
      <c r="A21" s="8">
        <v>44947</v>
      </c>
      <c r="B21" s="9" t="s">
        <v>52</v>
      </c>
      <c r="C21" s="9" t="s">
        <v>80</v>
      </c>
      <c r="D21" s="9" t="s">
        <v>50</v>
      </c>
      <c r="E21" s="9" t="s">
        <v>51</v>
      </c>
      <c r="F21" s="9">
        <v>1</v>
      </c>
      <c r="G21" s="9">
        <v>275.83999999999997</v>
      </c>
      <c r="H21" s="9">
        <v>0.2</v>
      </c>
      <c r="I21" s="9">
        <v>220.68</v>
      </c>
      <c r="J21" s="9">
        <v>4</v>
      </c>
      <c r="K21">
        <f t="shared" si="0"/>
        <v>165.512</v>
      </c>
      <c r="L21" t="str">
        <f t="shared" si="1"/>
        <v>Jan</v>
      </c>
    </row>
    <row r="22" spans="1:12" ht="15.75" customHeight="1">
      <c r="A22" s="8">
        <v>44949</v>
      </c>
      <c r="B22" s="9" t="s">
        <v>48</v>
      </c>
      <c r="C22" s="9" t="s">
        <v>81</v>
      </c>
      <c r="D22" s="9" t="s">
        <v>58</v>
      </c>
      <c r="E22" s="9" t="s">
        <v>62</v>
      </c>
      <c r="F22" s="9">
        <v>8</v>
      </c>
      <c r="G22" s="9">
        <v>305.94</v>
      </c>
      <c r="H22" s="9">
        <v>0.3</v>
      </c>
      <c r="I22" s="9">
        <v>1713.26</v>
      </c>
      <c r="J22" s="9">
        <v>5</v>
      </c>
      <c r="K22">
        <f t="shared" si="0"/>
        <v>979.00400000000002</v>
      </c>
      <c r="L22" t="str">
        <f t="shared" si="1"/>
        <v>Jan</v>
      </c>
    </row>
    <row r="23" spans="1:12" ht="15.75" customHeight="1">
      <c r="A23" s="8">
        <v>44950</v>
      </c>
      <c r="B23" s="9" t="s">
        <v>82</v>
      </c>
      <c r="C23" s="9" t="s">
        <v>83</v>
      </c>
      <c r="D23" s="9" t="s">
        <v>50</v>
      </c>
      <c r="E23" s="9" t="s">
        <v>51</v>
      </c>
      <c r="F23" s="9">
        <v>2</v>
      </c>
      <c r="G23" s="9">
        <v>98.8</v>
      </c>
      <c r="H23" s="9">
        <v>0.2</v>
      </c>
      <c r="I23" s="9">
        <v>158.09</v>
      </c>
      <c r="J23" s="9">
        <v>3</v>
      </c>
      <c r="K23">
        <f t="shared" si="0"/>
        <v>118.57</v>
      </c>
      <c r="L23" t="str">
        <f t="shared" si="1"/>
        <v>Jan</v>
      </c>
    </row>
    <row r="24" spans="1:12" ht="15.75" customHeight="1">
      <c r="A24" s="8">
        <v>44950</v>
      </c>
      <c r="B24" s="9" t="s">
        <v>52</v>
      </c>
      <c r="C24" s="9" t="s">
        <v>53</v>
      </c>
      <c r="D24" s="9" t="s">
        <v>71</v>
      </c>
      <c r="E24" s="9" t="s">
        <v>72</v>
      </c>
      <c r="F24" s="9">
        <v>5</v>
      </c>
      <c r="G24" s="9">
        <v>316.70999999999998</v>
      </c>
      <c r="H24" s="9">
        <v>0</v>
      </c>
      <c r="I24" s="9">
        <v>1583.55</v>
      </c>
      <c r="J24" s="9">
        <v>3</v>
      </c>
      <c r="K24">
        <f t="shared" si="0"/>
        <v>1583.55</v>
      </c>
      <c r="L24" t="str">
        <f t="shared" si="1"/>
        <v>Jan</v>
      </c>
    </row>
    <row r="25" spans="1:12" ht="15.75" customHeight="1">
      <c r="A25" s="8">
        <v>44953</v>
      </c>
      <c r="B25" s="9" t="s">
        <v>56</v>
      </c>
      <c r="C25" s="9" t="s">
        <v>79</v>
      </c>
      <c r="D25" s="9" t="s">
        <v>50</v>
      </c>
      <c r="E25" s="9" t="s">
        <v>65</v>
      </c>
      <c r="F25" s="9">
        <v>3</v>
      </c>
      <c r="G25" s="9">
        <v>413.04</v>
      </c>
      <c r="H25" s="9">
        <v>0.1</v>
      </c>
      <c r="I25" s="9">
        <v>1115.22</v>
      </c>
      <c r="J25" s="9">
        <v>4</v>
      </c>
      <c r="K25">
        <f t="shared" si="0"/>
        <v>991.30799999999999</v>
      </c>
      <c r="L25" t="str">
        <f t="shared" si="1"/>
        <v>Jan</v>
      </c>
    </row>
    <row r="26" spans="1:12" ht="15.75" customHeight="1">
      <c r="A26" s="8">
        <v>44953</v>
      </c>
      <c r="B26" s="9" t="s">
        <v>66</v>
      </c>
      <c r="C26" s="9" t="s">
        <v>84</v>
      </c>
      <c r="D26" s="9" t="s">
        <v>50</v>
      </c>
      <c r="E26" s="9" t="s">
        <v>78</v>
      </c>
      <c r="F26" s="9">
        <v>9</v>
      </c>
      <c r="G26" s="9">
        <v>371.33</v>
      </c>
      <c r="H26" s="9">
        <v>0.25</v>
      </c>
      <c r="I26" s="9">
        <v>2506.4699999999998</v>
      </c>
      <c r="J26" s="9">
        <v>4</v>
      </c>
      <c r="K26">
        <f t="shared" si="0"/>
        <v>1670.9775</v>
      </c>
      <c r="L26" t="str">
        <f t="shared" si="1"/>
        <v>Jan</v>
      </c>
    </row>
    <row r="27" spans="1:12" ht="15.75" customHeight="1">
      <c r="A27" s="8">
        <v>44954</v>
      </c>
      <c r="B27" s="9" t="s">
        <v>82</v>
      </c>
      <c r="C27" s="9" t="s">
        <v>85</v>
      </c>
      <c r="D27" s="9" t="s">
        <v>54</v>
      </c>
      <c r="E27" s="9" t="s">
        <v>86</v>
      </c>
      <c r="F27" s="9">
        <v>5</v>
      </c>
      <c r="G27" s="9">
        <v>97.62</v>
      </c>
      <c r="H27" s="9">
        <v>0.2</v>
      </c>
      <c r="I27" s="9">
        <v>390.49</v>
      </c>
      <c r="J27" s="9">
        <v>3</v>
      </c>
      <c r="K27">
        <f t="shared" si="0"/>
        <v>292.87</v>
      </c>
      <c r="L27" t="str">
        <f t="shared" si="1"/>
        <v>Jan</v>
      </c>
    </row>
    <row r="28" spans="1:12" ht="15.75" customHeight="1">
      <c r="A28" s="8">
        <v>44956</v>
      </c>
      <c r="B28" s="9" t="s">
        <v>82</v>
      </c>
      <c r="C28" s="9" t="s">
        <v>87</v>
      </c>
      <c r="D28" s="9" t="s">
        <v>54</v>
      </c>
      <c r="E28" s="9" t="s">
        <v>86</v>
      </c>
      <c r="F28" s="9">
        <v>9</v>
      </c>
      <c r="G28" s="9">
        <v>184.44</v>
      </c>
      <c r="H28" s="9">
        <v>0.1</v>
      </c>
      <c r="I28" s="9">
        <v>1493.93</v>
      </c>
      <c r="J28" s="9">
        <v>3</v>
      </c>
      <c r="K28">
        <f t="shared" si="0"/>
        <v>1327.934</v>
      </c>
      <c r="L28" t="str">
        <f t="shared" si="1"/>
        <v>Jan</v>
      </c>
    </row>
    <row r="29" spans="1:12" ht="15.75" customHeight="1">
      <c r="A29" s="8">
        <v>44957</v>
      </c>
      <c r="B29" s="9" t="s">
        <v>82</v>
      </c>
      <c r="C29" s="9" t="s">
        <v>85</v>
      </c>
      <c r="D29" s="9" t="s">
        <v>54</v>
      </c>
      <c r="E29" s="9" t="s">
        <v>86</v>
      </c>
      <c r="F29" s="9">
        <v>1</v>
      </c>
      <c r="G29" s="9">
        <v>94.91</v>
      </c>
      <c r="H29" s="9">
        <v>0</v>
      </c>
      <c r="I29" s="9">
        <v>94.91</v>
      </c>
      <c r="J29" s="9">
        <v>4</v>
      </c>
      <c r="K29">
        <f t="shared" si="0"/>
        <v>94.91</v>
      </c>
      <c r="L29" t="str">
        <f t="shared" si="1"/>
        <v>Jan</v>
      </c>
    </row>
    <row r="30" spans="1:12" ht="15.75" customHeight="1">
      <c r="A30" s="8">
        <v>44958</v>
      </c>
      <c r="B30" s="9" t="s">
        <v>66</v>
      </c>
      <c r="C30" s="9" t="s">
        <v>67</v>
      </c>
      <c r="D30" s="9" t="s">
        <v>58</v>
      </c>
      <c r="E30" s="9" t="s">
        <v>62</v>
      </c>
      <c r="F30" s="9">
        <v>8</v>
      </c>
      <c r="G30" s="9">
        <v>457.49</v>
      </c>
      <c r="H30" s="9">
        <v>0.1</v>
      </c>
      <c r="I30" s="9">
        <v>3293.91</v>
      </c>
      <c r="J30" s="9">
        <v>3</v>
      </c>
      <c r="K30">
        <f t="shared" si="0"/>
        <v>2927.9179999999997</v>
      </c>
      <c r="L30" t="str">
        <f t="shared" si="1"/>
        <v>Feb</v>
      </c>
    </row>
    <row r="31" spans="1:12" ht="15.75" customHeight="1">
      <c r="A31" s="8">
        <v>44958</v>
      </c>
      <c r="B31" s="9" t="s">
        <v>52</v>
      </c>
      <c r="C31" s="9" t="s">
        <v>53</v>
      </c>
      <c r="D31" s="9" t="s">
        <v>54</v>
      </c>
      <c r="E31" s="9" t="s">
        <v>86</v>
      </c>
      <c r="F31" s="9">
        <v>7</v>
      </c>
      <c r="G31" s="9">
        <v>400.31</v>
      </c>
      <c r="H31" s="9">
        <v>0.2</v>
      </c>
      <c r="I31" s="9">
        <v>2241.71</v>
      </c>
      <c r="J31" s="9">
        <v>5</v>
      </c>
      <c r="K31">
        <f t="shared" si="0"/>
        <v>1681.2759999999998</v>
      </c>
      <c r="L31" t="str">
        <f t="shared" si="1"/>
        <v>Feb</v>
      </c>
    </row>
    <row r="32" spans="1:12" ht="15.75" customHeight="1">
      <c r="A32" s="8">
        <v>44958</v>
      </c>
      <c r="B32" s="9" t="s">
        <v>56</v>
      </c>
      <c r="C32" s="9" t="s">
        <v>70</v>
      </c>
      <c r="D32" s="9" t="s">
        <v>50</v>
      </c>
      <c r="E32" s="9" t="s">
        <v>51</v>
      </c>
      <c r="F32" s="9">
        <v>3</v>
      </c>
      <c r="G32" s="9">
        <v>64.489999999999995</v>
      </c>
      <c r="H32" s="9">
        <v>0.2</v>
      </c>
      <c r="I32" s="9">
        <v>154.77000000000001</v>
      </c>
      <c r="J32" s="9">
        <v>5</v>
      </c>
      <c r="K32">
        <f t="shared" si="0"/>
        <v>116.07600000000002</v>
      </c>
      <c r="L32" t="str">
        <f t="shared" si="1"/>
        <v>Feb</v>
      </c>
    </row>
    <row r="33" spans="1:12" ht="15.75" customHeight="1">
      <c r="A33" s="8">
        <v>44961</v>
      </c>
      <c r="B33" s="9" t="s">
        <v>48</v>
      </c>
      <c r="C33" s="9" t="s">
        <v>81</v>
      </c>
      <c r="D33" s="9" t="s">
        <v>71</v>
      </c>
      <c r="E33" s="9" t="s">
        <v>76</v>
      </c>
      <c r="F33" s="9">
        <v>8</v>
      </c>
      <c r="G33" s="9">
        <v>77.39</v>
      </c>
      <c r="H33" s="9">
        <v>0.25</v>
      </c>
      <c r="I33" s="9">
        <v>464.31</v>
      </c>
      <c r="J33" s="9">
        <v>3</v>
      </c>
      <c r="K33">
        <f t="shared" si="0"/>
        <v>309.52999999999997</v>
      </c>
      <c r="L33" t="str">
        <f t="shared" si="1"/>
        <v>Feb</v>
      </c>
    </row>
    <row r="34" spans="1:12" ht="15.75" customHeight="1">
      <c r="A34" s="8">
        <v>44961</v>
      </c>
      <c r="B34" s="9" t="s">
        <v>48</v>
      </c>
      <c r="C34" s="9" t="s">
        <v>81</v>
      </c>
      <c r="D34" s="9" t="s">
        <v>50</v>
      </c>
      <c r="E34" s="9" t="s">
        <v>65</v>
      </c>
      <c r="F34" s="9">
        <v>3</v>
      </c>
      <c r="G34" s="9">
        <v>431.37</v>
      </c>
      <c r="H34" s="9">
        <v>0.3</v>
      </c>
      <c r="I34" s="9">
        <v>905.88</v>
      </c>
      <c r="J34" s="9">
        <v>3</v>
      </c>
      <c r="K34">
        <f t="shared" si="0"/>
        <v>517.64699999999993</v>
      </c>
      <c r="L34" t="str">
        <f t="shared" si="1"/>
        <v>Feb</v>
      </c>
    </row>
    <row r="35" spans="1:12" ht="15.75" customHeight="1">
      <c r="A35" s="8">
        <v>44962</v>
      </c>
      <c r="B35" s="9" t="s">
        <v>48</v>
      </c>
      <c r="C35" s="9" t="s">
        <v>61</v>
      </c>
      <c r="D35" s="9" t="s">
        <v>54</v>
      </c>
      <c r="E35" s="9" t="s">
        <v>63</v>
      </c>
      <c r="F35" s="9">
        <v>9</v>
      </c>
      <c r="G35" s="9">
        <v>152.69999999999999</v>
      </c>
      <c r="H35" s="9">
        <v>0.2</v>
      </c>
      <c r="I35" s="9">
        <v>1099.46</v>
      </c>
      <c r="J35" s="9">
        <v>4</v>
      </c>
      <c r="K35">
        <f t="shared" si="0"/>
        <v>824.6</v>
      </c>
      <c r="L35" t="str">
        <f t="shared" si="1"/>
        <v>Feb</v>
      </c>
    </row>
    <row r="36" spans="1:12" ht="15.75" customHeight="1">
      <c r="A36" s="8">
        <v>44963</v>
      </c>
      <c r="B36" s="9" t="s">
        <v>82</v>
      </c>
      <c r="C36" s="9" t="s">
        <v>83</v>
      </c>
      <c r="D36" s="9" t="s">
        <v>71</v>
      </c>
      <c r="E36" s="9" t="s">
        <v>88</v>
      </c>
      <c r="F36" s="9">
        <v>6</v>
      </c>
      <c r="G36" s="9">
        <v>10.38</v>
      </c>
      <c r="H36" s="9">
        <v>0.25</v>
      </c>
      <c r="I36" s="9">
        <v>46.72</v>
      </c>
      <c r="J36" s="9">
        <v>5</v>
      </c>
      <c r="K36">
        <f t="shared" si="0"/>
        <v>31.15</v>
      </c>
      <c r="L36" t="str">
        <f t="shared" si="1"/>
        <v>Feb</v>
      </c>
    </row>
    <row r="37" spans="1:12" ht="15.75" customHeight="1">
      <c r="A37" s="8">
        <v>44964</v>
      </c>
      <c r="B37" s="9" t="s">
        <v>48</v>
      </c>
      <c r="C37" s="9" t="s">
        <v>81</v>
      </c>
      <c r="D37" s="9" t="s">
        <v>54</v>
      </c>
      <c r="E37" s="9" t="s">
        <v>63</v>
      </c>
      <c r="F37" s="9">
        <v>1</v>
      </c>
      <c r="G37" s="9">
        <v>50.62</v>
      </c>
      <c r="H37" s="9">
        <v>0</v>
      </c>
      <c r="I37" s="9">
        <v>50.62</v>
      </c>
      <c r="J37" s="9">
        <v>5</v>
      </c>
      <c r="K37">
        <f t="shared" si="0"/>
        <v>50.62</v>
      </c>
      <c r="L37" t="str">
        <f t="shared" si="1"/>
        <v>Feb</v>
      </c>
    </row>
    <row r="38" spans="1:12" ht="15.75" customHeight="1">
      <c r="A38" s="8">
        <v>44965</v>
      </c>
      <c r="B38" s="9" t="s">
        <v>82</v>
      </c>
      <c r="C38" s="9" t="s">
        <v>85</v>
      </c>
      <c r="D38" s="9" t="s">
        <v>50</v>
      </c>
      <c r="E38" s="9" t="s">
        <v>78</v>
      </c>
      <c r="F38" s="9">
        <v>5</v>
      </c>
      <c r="G38" s="9">
        <v>265.89999999999998</v>
      </c>
      <c r="H38" s="9">
        <v>0.3</v>
      </c>
      <c r="I38" s="9">
        <v>930.65</v>
      </c>
      <c r="J38" s="9">
        <v>4</v>
      </c>
      <c r="K38">
        <f t="shared" si="0"/>
        <v>531.79999999999995</v>
      </c>
      <c r="L38" t="str">
        <f t="shared" si="1"/>
        <v>Feb</v>
      </c>
    </row>
    <row r="39" spans="1:12" ht="15.75" customHeight="1">
      <c r="A39" s="8">
        <v>44969</v>
      </c>
      <c r="B39" s="9" t="s">
        <v>56</v>
      </c>
      <c r="C39" s="9" t="s">
        <v>57</v>
      </c>
      <c r="D39" s="9" t="s">
        <v>58</v>
      </c>
      <c r="E39" s="9" t="s">
        <v>59</v>
      </c>
      <c r="F39" s="9">
        <v>2</v>
      </c>
      <c r="G39" s="9">
        <v>318.18</v>
      </c>
      <c r="H39" s="9">
        <v>0.3</v>
      </c>
      <c r="I39" s="9">
        <v>445.45</v>
      </c>
      <c r="J39" s="9">
        <v>4</v>
      </c>
      <c r="K39">
        <f t="shared" si="0"/>
        <v>254.542</v>
      </c>
      <c r="L39" t="str">
        <f t="shared" si="1"/>
        <v>Feb</v>
      </c>
    </row>
    <row r="40" spans="1:12" ht="15.75" customHeight="1">
      <c r="A40" s="8">
        <v>44969</v>
      </c>
      <c r="B40" s="9" t="s">
        <v>66</v>
      </c>
      <c r="C40" s="9" t="s">
        <v>77</v>
      </c>
      <c r="D40" s="9" t="s">
        <v>71</v>
      </c>
      <c r="E40" s="9" t="s">
        <v>88</v>
      </c>
      <c r="F40" s="9">
        <v>9</v>
      </c>
      <c r="G40" s="9">
        <v>403.71</v>
      </c>
      <c r="H40" s="9">
        <v>0</v>
      </c>
      <c r="I40" s="9">
        <v>3633.35</v>
      </c>
      <c r="J40" s="9">
        <v>4</v>
      </c>
      <c r="K40">
        <f t="shared" si="0"/>
        <v>3633.35</v>
      </c>
      <c r="L40" t="str">
        <f t="shared" si="1"/>
        <v>Feb</v>
      </c>
    </row>
    <row r="41" spans="1:12" ht="15.75" customHeight="1">
      <c r="A41" s="8">
        <v>44970</v>
      </c>
      <c r="B41" s="9" t="s">
        <v>82</v>
      </c>
      <c r="C41" s="9" t="s">
        <v>89</v>
      </c>
      <c r="D41" s="9" t="s">
        <v>50</v>
      </c>
      <c r="E41" s="9" t="s">
        <v>78</v>
      </c>
      <c r="F41" s="9">
        <v>4</v>
      </c>
      <c r="G41" s="9">
        <v>122.03</v>
      </c>
      <c r="H41" s="9">
        <v>0</v>
      </c>
      <c r="I41" s="9">
        <v>488.14</v>
      </c>
      <c r="J41" s="9">
        <v>4</v>
      </c>
      <c r="K41">
        <f t="shared" si="0"/>
        <v>488.14</v>
      </c>
      <c r="L41" t="str">
        <f t="shared" si="1"/>
        <v>Feb</v>
      </c>
    </row>
    <row r="42" spans="1:12" ht="15.75" customHeight="1">
      <c r="A42" s="8">
        <v>44970</v>
      </c>
      <c r="B42" s="9" t="s">
        <v>48</v>
      </c>
      <c r="C42" s="9" t="s">
        <v>49</v>
      </c>
      <c r="D42" s="9" t="s">
        <v>71</v>
      </c>
      <c r="E42" s="9" t="s">
        <v>72</v>
      </c>
      <c r="F42" s="9">
        <v>6</v>
      </c>
      <c r="G42" s="9">
        <v>251.38</v>
      </c>
      <c r="H42" s="9">
        <v>0.3</v>
      </c>
      <c r="I42" s="9">
        <v>1055.81</v>
      </c>
      <c r="J42" s="9">
        <v>5</v>
      </c>
      <c r="K42">
        <f t="shared" si="0"/>
        <v>603.32600000000002</v>
      </c>
      <c r="L42" t="str">
        <f t="shared" si="1"/>
        <v>Feb</v>
      </c>
    </row>
    <row r="43" spans="1:12" ht="15.75" customHeight="1">
      <c r="A43" s="8">
        <v>44971</v>
      </c>
      <c r="B43" s="9" t="s">
        <v>56</v>
      </c>
      <c r="C43" s="9" t="s">
        <v>74</v>
      </c>
      <c r="D43" s="9" t="s">
        <v>50</v>
      </c>
      <c r="E43" s="9" t="s">
        <v>78</v>
      </c>
      <c r="F43" s="9">
        <v>7</v>
      </c>
      <c r="G43" s="9">
        <v>132.91999999999999</v>
      </c>
      <c r="H43" s="9">
        <v>0.1</v>
      </c>
      <c r="I43" s="9">
        <v>837.41</v>
      </c>
      <c r="J43" s="9">
        <v>5</v>
      </c>
      <c r="K43">
        <f t="shared" si="0"/>
        <v>744.36599999999999</v>
      </c>
      <c r="L43" t="str">
        <f t="shared" si="1"/>
        <v>Feb</v>
      </c>
    </row>
    <row r="44" spans="1:12" ht="15.75" customHeight="1">
      <c r="A44" s="8">
        <v>44972</v>
      </c>
      <c r="B44" s="9" t="s">
        <v>52</v>
      </c>
      <c r="C44" s="9" t="s">
        <v>73</v>
      </c>
      <c r="D44" s="9" t="s">
        <v>71</v>
      </c>
      <c r="E44" s="9" t="s">
        <v>76</v>
      </c>
      <c r="F44" s="9">
        <v>1</v>
      </c>
      <c r="G44" s="9">
        <v>89.2</v>
      </c>
      <c r="H44" s="9">
        <v>0.25</v>
      </c>
      <c r="I44" s="9">
        <v>66.900000000000006</v>
      </c>
      <c r="J44" s="9">
        <v>5</v>
      </c>
      <c r="K44">
        <f t="shared" si="0"/>
        <v>44.600000000000009</v>
      </c>
      <c r="L44" t="str">
        <f t="shared" si="1"/>
        <v>Feb</v>
      </c>
    </row>
    <row r="45" spans="1:12" ht="15.75" customHeight="1">
      <c r="A45" s="8">
        <v>44973</v>
      </c>
      <c r="B45" s="9" t="s">
        <v>56</v>
      </c>
      <c r="C45" s="9" t="s">
        <v>70</v>
      </c>
      <c r="D45" s="9" t="s">
        <v>54</v>
      </c>
      <c r="E45" s="9" t="s">
        <v>55</v>
      </c>
      <c r="F45" s="9">
        <v>7</v>
      </c>
      <c r="G45" s="9">
        <v>218.78</v>
      </c>
      <c r="H45" s="9">
        <v>0.1</v>
      </c>
      <c r="I45" s="9">
        <v>1378.34</v>
      </c>
      <c r="J45" s="9">
        <v>3</v>
      </c>
      <c r="K45">
        <f t="shared" si="0"/>
        <v>1225.194</v>
      </c>
      <c r="L45" t="str">
        <f t="shared" si="1"/>
        <v>Feb</v>
      </c>
    </row>
    <row r="46" spans="1:12" ht="15.75" customHeight="1">
      <c r="A46" s="8">
        <v>44977</v>
      </c>
      <c r="B46" s="9" t="s">
        <v>56</v>
      </c>
      <c r="C46" s="9" t="s">
        <v>57</v>
      </c>
      <c r="D46" s="9" t="s">
        <v>50</v>
      </c>
      <c r="E46" s="9" t="s">
        <v>51</v>
      </c>
      <c r="F46" s="9">
        <v>3</v>
      </c>
      <c r="G46" s="9">
        <v>350.03</v>
      </c>
      <c r="H46" s="9">
        <v>0.25</v>
      </c>
      <c r="I46" s="9">
        <v>787.58</v>
      </c>
      <c r="J46" s="9">
        <v>4</v>
      </c>
      <c r="K46">
        <f t="shared" si="0"/>
        <v>525.05750000000012</v>
      </c>
      <c r="L46" t="str">
        <f t="shared" si="1"/>
        <v>Feb</v>
      </c>
    </row>
    <row r="47" spans="1:12" ht="15.75" customHeight="1">
      <c r="A47" s="8">
        <v>44977</v>
      </c>
      <c r="B47" s="9" t="s">
        <v>56</v>
      </c>
      <c r="C47" s="9" t="s">
        <v>79</v>
      </c>
      <c r="D47" s="9" t="s">
        <v>54</v>
      </c>
      <c r="E47" s="9" t="s">
        <v>55</v>
      </c>
      <c r="F47" s="9">
        <v>5</v>
      </c>
      <c r="G47" s="9">
        <v>234.06</v>
      </c>
      <c r="H47" s="9">
        <v>0.3</v>
      </c>
      <c r="I47" s="9">
        <v>819.21</v>
      </c>
      <c r="J47" s="9">
        <v>4</v>
      </c>
      <c r="K47">
        <f t="shared" si="0"/>
        <v>468.12000000000006</v>
      </c>
      <c r="L47" t="str">
        <f t="shared" si="1"/>
        <v>Feb</v>
      </c>
    </row>
    <row r="48" spans="1:12" ht="15.75" customHeight="1">
      <c r="A48" s="8">
        <v>44979</v>
      </c>
      <c r="B48" s="9" t="s">
        <v>56</v>
      </c>
      <c r="C48" s="9" t="s">
        <v>70</v>
      </c>
      <c r="D48" s="9" t="s">
        <v>50</v>
      </c>
      <c r="E48" s="9" t="s">
        <v>65</v>
      </c>
      <c r="F48" s="9">
        <v>4</v>
      </c>
      <c r="G48" s="9">
        <v>235.08</v>
      </c>
      <c r="H48" s="9">
        <v>0</v>
      </c>
      <c r="I48" s="9">
        <v>940.32</v>
      </c>
      <c r="J48" s="9">
        <v>4</v>
      </c>
      <c r="K48">
        <f t="shared" si="0"/>
        <v>940.32</v>
      </c>
      <c r="L48" t="str">
        <f t="shared" si="1"/>
        <v>Feb</v>
      </c>
    </row>
    <row r="49" spans="1:12" ht="15.75" customHeight="1">
      <c r="A49" s="8">
        <v>44980</v>
      </c>
      <c r="B49" s="9" t="s">
        <v>56</v>
      </c>
      <c r="C49" s="9" t="s">
        <v>57</v>
      </c>
      <c r="D49" s="9" t="s">
        <v>50</v>
      </c>
      <c r="E49" s="9" t="s">
        <v>78</v>
      </c>
      <c r="F49" s="9">
        <v>9</v>
      </c>
      <c r="G49" s="9">
        <v>61.69</v>
      </c>
      <c r="H49" s="9">
        <v>0.25</v>
      </c>
      <c r="I49" s="9">
        <v>416.42</v>
      </c>
      <c r="J49" s="9">
        <v>4</v>
      </c>
      <c r="K49">
        <f t="shared" si="0"/>
        <v>277.61750000000001</v>
      </c>
      <c r="L49" t="str">
        <f t="shared" si="1"/>
        <v>Feb</v>
      </c>
    </row>
    <row r="50" spans="1:12" ht="15.75" customHeight="1">
      <c r="A50" s="8">
        <v>44981</v>
      </c>
      <c r="B50" s="9" t="s">
        <v>56</v>
      </c>
      <c r="C50" s="9" t="s">
        <v>70</v>
      </c>
      <c r="D50" s="9" t="s">
        <v>54</v>
      </c>
      <c r="E50" s="9" t="s">
        <v>63</v>
      </c>
      <c r="F50" s="9">
        <v>5</v>
      </c>
      <c r="G50" s="9">
        <v>31.27</v>
      </c>
      <c r="H50" s="9">
        <v>0.3</v>
      </c>
      <c r="I50" s="9">
        <v>109.43</v>
      </c>
      <c r="J50" s="9">
        <v>4</v>
      </c>
      <c r="K50">
        <f t="shared" si="0"/>
        <v>62.525000000000013</v>
      </c>
      <c r="L50" t="str">
        <f t="shared" si="1"/>
        <v>Feb</v>
      </c>
    </row>
    <row r="51" spans="1:12" ht="15.75" customHeight="1">
      <c r="A51" s="8">
        <v>44982</v>
      </c>
      <c r="B51" s="9" t="s">
        <v>52</v>
      </c>
      <c r="C51" s="9" t="s">
        <v>53</v>
      </c>
      <c r="D51" s="9" t="s">
        <v>71</v>
      </c>
      <c r="E51" s="9" t="s">
        <v>76</v>
      </c>
      <c r="F51" s="9">
        <v>8</v>
      </c>
      <c r="G51" s="9">
        <v>363.58</v>
      </c>
      <c r="H51" s="9">
        <v>0.25</v>
      </c>
      <c r="I51" s="9">
        <v>2181.4899999999998</v>
      </c>
      <c r="J51" s="9">
        <v>5</v>
      </c>
      <c r="K51">
        <f t="shared" si="0"/>
        <v>1454.33</v>
      </c>
      <c r="L51" t="str">
        <f t="shared" si="1"/>
        <v>Feb</v>
      </c>
    </row>
    <row r="52" spans="1:12" ht="15.75" customHeight="1">
      <c r="A52" s="8">
        <v>44986</v>
      </c>
      <c r="B52" s="9" t="s">
        <v>82</v>
      </c>
      <c r="C52" s="9" t="s">
        <v>89</v>
      </c>
      <c r="D52" s="9" t="s">
        <v>71</v>
      </c>
      <c r="E52" s="9" t="s">
        <v>88</v>
      </c>
      <c r="F52" s="9">
        <v>1</v>
      </c>
      <c r="G52" s="9">
        <v>147.08000000000001</v>
      </c>
      <c r="H52" s="9">
        <v>0.3</v>
      </c>
      <c r="I52" s="9">
        <v>102.96</v>
      </c>
      <c r="J52" s="9">
        <v>4</v>
      </c>
      <c r="K52">
        <f t="shared" si="0"/>
        <v>58.835999999999991</v>
      </c>
      <c r="L52" t="str">
        <f t="shared" si="1"/>
        <v>Mar</v>
      </c>
    </row>
    <row r="53" spans="1:12" ht="15.75" customHeight="1">
      <c r="A53" s="8">
        <v>44987</v>
      </c>
      <c r="B53" s="9" t="s">
        <v>82</v>
      </c>
      <c r="C53" s="9" t="s">
        <v>90</v>
      </c>
      <c r="D53" s="9" t="s">
        <v>71</v>
      </c>
      <c r="E53" s="9" t="s">
        <v>76</v>
      </c>
      <c r="F53" s="9">
        <v>10</v>
      </c>
      <c r="G53" s="9">
        <v>275.89999999999998</v>
      </c>
      <c r="H53" s="9">
        <v>0.3</v>
      </c>
      <c r="I53" s="9">
        <v>1931.27</v>
      </c>
      <c r="J53" s="9">
        <v>5</v>
      </c>
      <c r="K53">
        <f t="shared" si="0"/>
        <v>1103.5700000000002</v>
      </c>
      <c r="L53" t="str">
        <f t="shared" si="1"/>
        <v>Mar</v>
      </c>
    </row>
    <row r="54" spans="1:12" ht="15.75" customHeight="1">
      <c r="A54" s="8">
        <v>44989</v>
      </c>
      <c r="B54" s="9" t="s">
        <v>82</v>
      </c>
      <c r="C54" s="9" t="s">
        <v>87</v>
      </c>
      <c r="D54" s="9" t="s">
        <v>58</v>
      </c>
      <c r="E54" s="9" t="s">
        <v>62</v>
      </c>
      <c r="F54" s="9">
        <v>4</v>
      </c>
      <c r="G54" s="9">
        <v>373.32</v>
      </c>
      <c r="H54" s="9">
        <v>0.2</v>
      </c>
      <c r="I54" s="9">
        <v>1194.6099999999999</v>
      </c>
      <c r="J54" s="9">
        <v>4</v>
      </c>
      <c r="K54">
        <f t="shared" si="0"/>
        <v>895.95399999999995</v>
      </c>
      <c r="L54" t="str">
        <f t="shared" si="1"/>
        <v>Mar</v>
      </c>
    </row>
    <row r="55" spans="1:12" ht="15.75" customHeight="1">
      <c r="A55" s="8">
        <v>44989</v>
      </c>
      <c r="B55" s="9" t="s">
        <v>82</v>
      </c>
      <c r="C55" s="9" t="s">
        <v>90</v>
      </c>
      <c r="D55" s="9" t="s">
        <v>50</v>
      </c>
      <c r="E55" s="9" t="s">
        <v>65</v>
      </c>
      <c r="F55" s="9">
        <v>8</v>
      </c>
      <c r="G55" s="9">
        <v>406.84</v>
      </c>
      <c r="H55" s="9">
        <v>0</v>
      </c>
      <c r="I55" s="9">
        <v>3254.71</v>
      </c>
      <c r="J55" s="9">
        <v>5</v>
      </c>
      <c r="K55">
        <f t="shared" si="0"/>
        <v>3254.71</v>
      </c>
      <c r="L55" t="str">
        <f t="shared" si="1"/>
        <v>Mar</v>
      </c>
    </row>
    <row r="56" spans="1:12" ht="15.75" customHeight="1">
      <c r="A56" s="8">
        <v>44990</v>
      </c>
      <c r="B56" s="9" t="s">
        <v>82</v>
      </c>
      <c r="C56" s="9" t="s">
        <v>89</v>
      </c>
      <c r="D56" s="9" t="s">
        <v>54</v>
      </c>
      <c r="E56" s="9" t="s">
        <v>63</v>
      </c>
      <c r="F56" s="9">
        <v>10</v>
      </c>
      <c r="G56" s="9">
        <v>260.93</v>
      </c>
      <c r="H56" s="9">
        <v>0.2</v>
      </c>
      <c r="I56" s="9">
        <v>2087.4</v>
      </c>
      <c r="J56" s="9">
        <v>4</v>
      </c>
      <c r="K56">
        <f t="shared" si="0"/>
        <v>1565.54</v>
      </c>
      <c r="L56" t="str">
        <f t="shared" si="1"/>
        <v>Mar</v>
      </c>
    </row>
    <row r="57" spans="1:12" ht="15.75" customHeight="1">
      <c r="A57" s="8">
        <v>44990</v>
      </c>
      <c r="B57" s="9" t="s">
        <v>82</v>
      </c>
      <c r="C57" s="9" t="s">
        <v>85</v>
      </c>
      <c r="D57" s="9" t="s">
        <v>71</v>
      </c>
      <c r="E57" s="9" t="s">
        <v>72</v>
      </c>
      <c r="F57" s="9">
        <v>6</v>
      </c>
      <c r="G57" s="9">
        <v>274.49</v>
      </c>
      <c r="H57" s="9">
        <v>0</v>
      </c>
      <c r="I57" s="9">
        <v>1646.96</v>
      </c>
      <c r="J57" s="9">
        <v>3</v>
      </c>
      <c r="K57">
        <f t="shared" si="0"/>
        <v>1646.96</v>
      </c>
      <c r="L57" t="str">
        <f t="shared" si="1"/>
        <v>Mar</v>
      </c>
    </row>
    <row r="58" spans="1:12" ht="15.75" customHeight="1">
      <c r="A58" s="8">
        <v>44993</v>
      </c>
      <c r="B58" s="9" t="s">
        <v>82</v>
      </c>
      <c r="C58" s="9" t="s">
        <v>87</v>
      </c>
      <c r="D58" s="9" t="s">
        <v>50</v>
      </c>
      <c r="E58" s="9" t="s">
        <v>65</v>
      </c>
      <c r="F58" s="9">
        <v>7</v>
      </c>
      <c r="G58" s="9">
        <v>270.32</v>
      </c>
      <c r="H58" s="9">
        <v>0.1</v>
      </c>
      <c r="I58" s="9">
        <v>1703.02</v>
      </c>
      <c r="J58" s="9">
        <v>5</v>
      </c>
      <c r="K58">
        <f t="shared" si="0"/>
        <v>1513.796</v>
      </c>
      <c r="L58" t="str">
        <f t="shared" si="1"/>
        <v>Mar</v>
      </c>
    </row>
    <row r="59" spans="1:12" ht="15.75" customHeight="1">
      <c r="A59" s="8">
        <v>44993</v>
      </c>
      <c r="B59" s="9" t="s">
        <v>56</v>
      </c>
      <c r="C59" s="9" t="s">
        <v>70</v>
      </c>
      <c r="D59" s="9" t="s">
        <v>54</v>
      </c>
      <c r="E59" s="9" t="s">
        <v>63</v>
      </c>
      <c r="F59" s="9">
        <v>4</v>
      </c>
      <c r="G59" s="9">
        <v>169.72</v>
      </c>
      <c r="H59" s="9">
        <v>0.25</v>
      </c>
      <c r="I59" s="9">
        <v>509.16</v>
      </c>
      <c r="J59" s="9">
        <v>4</v>
      </c>
      <c r="K59">
        <f t="shared" si="0"/>
        <v>339.44000000000005</v>
      </c>
      <c r="L59" t="str">
        <f t="shared" si="1"/>
        <v>Mar</v>
      </c>
    </row>
    <row r="60" spans="1:12" ht="15.75" customHeight="1">
      <c r="A60" s="8">
        <v>44993</v>
      </c>
      <c r="B60" s="9" t="s">
        <v>66</v>
      </c>
      <c r="C60" s="9" t="s">
        <v>91</v>
      </c>
      <c r="D60" s="9" t="s">
        <v>50</v>
      </c>
      <c r="E60" s="9" t="s">
        <v>65</v>
      </c>
      <c r="F60" s="9">
        <v>5</v>
      </c>
      <c r="G60" s="9">
        <v>463.89</v>
      </c>
      <c r="H60" s="9">
        <v>0.1</v>
      </c>
      <c r="I60" s="9">
        <v>2087.4899999999998</v>
      </c>
      <c r="J60" s="9">
        <v>3</v>
      </c>
      <c r="K60">
        <f t="shared" si="0"/>
        <v>1855.5449999999998</v>
      </c>
      <c r="L60" t="str">
        <f t="shared" si="1"/>
        <v>Mar</v>
      </c>
    </row>
    <row r="61" spans="1:12" ht="15.75" customHeight="1">
      <c r="A61" s="8">
        <v>44993</v>
      </c>
      <c r="B61" s="9" t="s">
        <v>56</v>
      </c>
      <c r="C61" s="9" t="s">
        <v>64</v>
      </c>
      <c r="D61" s="9" t="s">
        <v>50</v>
      </c>
      <c r="E61" s="9" t="s">
        <v>78</v>
      </c>
      <c r="F61" s="9">
        <v>5</v>
      </c>
      <c r="G61" s="9">
        <v>285.02999999999997</v>
      </c>
      <c r="H61" s="9">
        <v>0.2</v>
      </c>
      <c r="I61" s="9">
        <v>1140.0999999999999</v>
      </c>
      <c r="J61" s="9">
        <v>3</v>
      </c>
      <c r="K61">
        <f t="shared" si="0"/>
        <v>855.06999999999994</v>
      </c>
      <c r="L61" t="str">
        <f t="shared" si="1"/>
        <v>Mar</v>
      </c>
    </row>
    <row r="62" spans="1:12" ht="15.75" customHeight="1">
      <c r="A62" s="8">
        <v>44994</v>
      </c>
      <c r="B62" s="9" t="s">
        <v>82</v>
      </c>
      <c r="C62" s="9" t="s">
        <v>85</v>
      </c>
      <c r="D62" s="9" t="s">
        <v>50</v>
      </c>
      <c r="E62" s="9" t="s">
        <v>65</v>
      </c>
      <c r="F62" s="9">
        <v>2</v>
      </c>
      <c r="G62" s="9">
        <v>29.09</v>
      </c>
      <c r="H62" s="9">
        <v>0.1</v>
      </c>
      <c r="I62" s="9">
        <v>52.37</v>
      </c>
      <c r="J62" s="9">
        <v>4</v>
      </c>
      <c r="K62">
        <f t="shared" si="0"/>
        <v>46.552</v>
      </c>
      <c r="L62" t="str">
        <f t="shared" si="1"/>
        <v>Mar</v>
      </c>
    </row>
    <row r="63" spans="1:12" ht="15.75" customHeight="1">
      <c r="A63" s="8">
        <v>44994</v>
      </c>
      <c r="B63" s="9" t="s">
        <v>48</v>
      </c>
      <c r="C63" s="9" t="s">
        <v>61</v>
      </c>
      <c r="D63" s="9" t="s">
        <v>50</v>
      </c>
      <c r="E63" s="9" t="s">
        <v>51</v>
      </c>
      <c r="F63" s="9">
        <v>8</v>
      </c>
      <c r="G63" s="9">
        <v>364.22</v>
      </c>
      <c r="H63" s="9">
        <v>0</v>
      </c>
      <c r="I63" s="9">
        <v>2913.75</v>
      </c>
      <c r="J63" s="9">
        <v>4</v>
      </c>
      <c r="K63">
        <f t="shared" si="0"/>
        <v>2913.75</v>
      </c>
      <c r="L63" t="str">
        <f t="shared" si="1"/>
        <v>Mar</v>
      </c>
    </row>
    <row r="64" spans="1:12" ht="15.75" customHeight="1">
      <c r="A64" s="8">
        <v>44995</v>
      </c>
      <c r="B64" s="9" t="s">
        <v>56</v>
      </c>
      <c r="C64" s="9" t="s">
        <v>70</v>
      </c>
      <c r="D64" s="9" t="s">
        <v>58</v>
      </c>
      <c r="E64" s="9" t="s">
        <v>62</v>
      </c>
      <c r="F64" s="9">
        <v>6</v>
      </c>
      <c r="G64" s="9">
        <v>53.46</v>
      </c>
      <c r="H64" s="9">
        <v>0</v>
      </c>
      <c r="I64" s="9">
        <v>320.79000000000002</v>
      </c>
      <c r="J64" s="9">
        <v>5</v>
      </c>
      <c r="K64">
        <f t="shared" si="0"/>
        <v>320.79000000000002</v>
      </c>
      <c r="L64" t="str">
        <f t="shared" si="1"/>
        <v>Mar</v>
      </c>
    </row>
    <row r="65" spans="1:12" ht="15.75" customHeight="1">
      <c r="A65" s="8">
        <v>44995</v>
      </c>
      <c r="B65" s="9" t="s">
        <v>48</v>
      </c>
      <c r="C65" s="9" t="s">
        <v>92</v>
      </c>
      <c r="D65" s="9" t="s">
        <v>50</v>
      </c>
      <c r="E65" s="9" t="s">
        <v>78</v>
      </c>
      <c r="F65" s="9">
        <v>10</v>
      </c>
      <c r="G65" s="9">
        <v>22.46</v>
      </c>
      <c r="H65" s="9">
        <v>0.3</v>
      </c>
      <c r="I65" s="9">
        <v>157.19</v>
      </c>
      <c r="J65" s="9">
        <v>4</v>
      </c>
      <c r="K65">
        <f t="shared" si="0"/>
        <v>89.809999999999988</v>
      </c>
      <c r="L65" t="str">
        <f t="shared" si="1"/>
        <v>Mar</v>
      </c>
    </row>
    <row r="66" spans="1:12" ht="15.75" customHeight="1">
      <c r="A66" s="8">
        <v>44997</v>
      </c>
      <c r="B66" s="9" t="s">
        <v>56</v>
      </c>
      <c r="C66" s="9" t="s">
        <v>74</v>
      </c>
      <c r="D66" s="9" t="s">
        <v>54</v>
      </c>
      <c r="E66" s="9" t="s">
        <v>55</v>
      </c>
      <c r="F66" s="9">
        <v>4</v>
      </c>
      <c r="G66" s="9">
        <v>302.97000000000003</v>
      </c>
      <c r="H66" s="9">
        <v>0.25</v>
      </c>
      <c r="I66" s="9">
        <v>908.91</v>
      </c>
      <c r="J66" s="9">
        <v>3</v>
      </c>
      <c r="K66">
        <f t="shared" si="0"/>
        <v>605.93999999999994</v>
      </c>
      <c r="L66" t="str">
        <f t="shared" si="1"/>
        <v>Mar</v>
      </c>
    </row>
    <row r="67" spans="1:12" ht="15.75" customHeight="1">
      <c r="A67" s="8">
        <v>44999</v>
      </c>
      <c r="B67" s="9" t="s">
        <v>82</v>
      </c>
      <c r="C67" s="9" t="s">
        <v>90</v>
      </c>
      <c r="D67" s="9" t="s">
        <v>71</v>
      </c>
      <c r="E67" s="9" t="s">
        <v>76</v>
      </c>
      <c r="F67" s="9">
        <v>10</v>
      </c>
      <c r="G67" s="9">
        <v>297.25</v>
      </c>
      <c r="H67" s="9">
        <v>0.1</v>
      </c>
      <c r="I67" s="9">
        <v>2675.27</v>
      </c>
      <c r="J67" s="9">
        <v>3</v>
      </c>
      <c r="K67">
        <f t="shared" ref="K67:K130" si="2">I67-(G67*F67*H67)</f>
        <v>2378.02</v>
      </c>
      <c r="L67" t="str">
        <f t="shared" ref="L67:L130" si="3">TEXT(A67,"MMM")</f>
        <v>Mar</v>
      </c>
    </row>
    <row r="68" spans="1:12" ht="15.75" customHeight="1">
      <c r="A68" s="8">
        <v>45000</v>
      </c>
      <c r="B68" s="9" t="s">
        <v>56</v>
      </c>
      <c r="C68" s="9" t="s">
        <v>74</v>
      </c>
      <c r="D68" s="9" t="s">
        <v>50</v>
      </c>
      <c r="E68" s="9" t="s">
        <v>65</v>
      </c>
      <c r="F68" s="9">
        <v>2</v>
      </c>
      <c r="G68" s="9">
        <v>70.91</v>
      </c>
      <c r="H68" s="9">
        <v>0.2</v>
      </c>
      <c r="I68" s="9">
        <v>113.45</v>
      </c>
      <c r="J68" s="9">
        <v>3</v>
      </c>
      <c r="K68">
        <f t="shared" si="2"/>
        <v>85.085999999999999</v>
      </c>
      <c r="L68" t="str">
        <f t="shared" si="3"/>
        <v>Mar</v>
      </c>
    </row>
    <row r="69" spans="1:12" ht="15.75" customHeight="1">
      <c r="A69" s="8">
        <v>45000</v>
      </c>
      <c r="B69" s="9" t="s">
        <v>56</v>
      </c>
      <c r="C69" s="9" t="s">
        <v>64</v>
      </c>
      <c r="D69" s="9" t="s">
        <v>58</v>
      </c>
      <c r="E69" s="9" t="s">
        <v>59</v>
      </c>
      <c r="F69" s="9">
        <v>2</v>
      </c>
      <c r="G69" s="9">
        <v>383.6</v>
      </c>
      <c r="H69" s="9">
        <v>0.2</v>
      </c>
      <c r="I69" s="9">
        <v>613.77</v>
      </c>
      <c r="J69" s="9">
        <v>4</v>
      </c>
      <c r="K69">
        <f t="shared" si="2"/>
        <v>460.32999999999993</v>
      </c>
      <c r="L69" t="str">
        <f t="shared" si="3"/>
        <v>Mar</v>
      </c>
    </row>
    <row r="70" spans="1:12" ht="15.75" customHeight="1">
      <c r="A70" s="8">
        <v>45001</v>
      </c>
      <c r="B70" s="9" t="s">
        <v>56</v>
      </c>
      <c r="C70" s="9" t="s">
        <v>57</v>
      </c>
      <c r="D70" s="9" t="s">
        <v>50</v>
      </c>
      <c r="E70" s="9" t="s">
        <v>78</v>
      </c>
      <c r="F70" s="9">
        <v>1</v>
      </c>
      <c r="G70" s="9">
        <v>136.54</v>
      </c>
      <c r="H70" s="9">
        <v>0.3</v>
      </c>
      <c r="I70" s="9">
        <v>95.58</v>
      </c>
      <c r="J70" s="9">
        <v>4</v>
      </c>
      <c r="K70">
        <f t="shared" si="2"/>
        <v>54.618000000000002</v>
      </c>
      <c r="L70" t="str">
        <f t="shared" si="3"/>
        <v>Mar</v>
      </c>
    </row>
    <row r="71" spans="1:12" ht="15.75" customHeight="1">
      <c r="A71" s="8">
        <v>45001</v>
      </c>
      <c r="B71" s="9" t="s">
        <v>52</v>
      </c>
      <c r="C71" s="9" t="s">
        <v>73</v>
      </c>
      <c r="D71" s="9" t="s">
        <v>50</v>
      </c>
      <c r="E71" s="9" t="s">
        <v>78</v>
      </c>
      <c r="F71" s="9">
        <v>10</v>
      </c>
      <c r="G71" s="9">
        <v>492.97</v>
      </c>
      <c r="H71" s="9">
        <v>0.25</v>
      </c>
      <c r="I71" s="9">
        <v>3697.27</v>
      </c>
      <c r="J71" s="9">
        <v>4</v>
      </c>
      <c r="K71">
        <f t="shared" si="2"/>
        <v>2464.8449999999998</v>
      </c>
      <c r="L71" t="str">
        <f t="shared" si="3"/>
        <v>Mar</v>
      </c>
    </row>
    <row r="72" spans="1:12" ht="15.75" customHeight="1">
      <c r="A72" s="8">
        <v>45002</v>
      </c>
      <c r="B72" s="9" t="s">
        <v>66</v>
      </c>
      <c r="C72" s="9" t="s">
        <v>69</v>
      </c>
      <c r="D72" s="9" t="s">
        <v>58</v>
      </c>
      <c r="E72" s="9" t="s">
        <v>62</v>
      </c>
      <c r="F72" s="9">
        <v>10</v>
      </c>
      <c r="G72" s="9">
        <v>202.3</v>
      </c>
      <c r="H72" s="9">
        <v>0.2</v>
      </c>
      <c r="I72" s="9">
        <v>1618.38</v>
      </c>
      <c r="J72" s="9">
        <v>5</v>
      </c>
      <c r="K72">
        <f t="shared" si="2"/>
        <v>1213.7800000000002</v>
      </c>
      <c r="L72" t="str">
        <f t="shared" si="3"/>
        <v>Mar</v>
      </c>
    </row>
    <row r="73" spans="1:12" ht="15.75" customHeight="1">
      <c r="A73" s="8">
        <v>45002</v>
      </c>
      <c r="B73" s="9" t="s">
        <v>56</v>
      </c>
      <c r="C73" s="9" t="s">
        <v>64</v>
      </c>
      <c r="D73" s="9" t="s">
        <v>54</v>
      </c>
      <c r="E73" s="9" t="s">
        <v>86</v>
      </c>
      <c r="F73" s="9">
        <v>8</v>
      </c>
      <c r="G73" s="9">
        <v>126.44</v>
      </c>
      <c r="H73" s="9">
        <v>0.3</v>
      </c>
      <c r="I73" s="9">
        <v>708.08</v>
      </c>
      <c r="J73" s="9">
        <v>4</v>
      </c>
      <c r="K73">
        <f t="shared" si="2"/>
        <v>404.62400000000008</v>
      </c>
      <c r="L73" t="str">
        <f t="shared" si="3"/>
        <v>Mar</v>
      </c>
    </row>
    <row r="74" spans="1:12" ht="15.75" customHeight="1">
      <c r="A74" s="8">
        <v>45002</v>
      </c>
      <c r="B74" s="9" t="s">
        <v>48</v>
      </c>
      <c r="C74" s="9" t="s">
        <v>81</v>
      </c>
      <c r="D74" s="9" t="s">
        <v>58</v>
      </c>
      <c r="E74" s="9" t="s">
        <v>59</v>
      </c>
      <c r="F74" s="9">
        <v>5</v>
      </c>
      <c r="G74" s="9">
        <v>68.88</v>
      </c>
      <c r="H74" s="9">
        <v>0.3</v>
      </c>
      <c r="I74" s="9">
        <v>241.08</v>
      </c>
      <c r="J74" s="9">
        <v>5</v>
      </c>
      <c r="K74">
        <f t="shared" si="2"/>
        <v>137.76000000000002</v>
      </c>
      <c r="L74" t="str">
        <f t="shared" si="3"/>
        <v>Mar</v>
      </c>
    </row>
    <row r="75" spans="1:12" ht="15.75" customHeight="1">
      <c r="A75" s="8">
        <v>45002</v>
      </c>
      <c r="B75" s="9" t="s">
        <v>82</v>
      </c>
      <c r="C75" s="9" t="s">
        <v>83</v>
      </c>
      <c r="D75" s="9" t="s">
        <v>54</v>
      </c>
      <c r="E75" s="9" t="s">
        <v>63</v>
      </c>
      <c r="F75" s="9">
        <v>10</v>
      </c>
      <c r="G75" s="9">
        <v>200.25</v>
      </c>
      <c r="H75" s="9">
        <v>0.25</v>
      </c>
      <c r="I75" s="9">
        <v>1501.89</v>
      </c>
      <c r="J75" s="9">
        <v>4</v>
      </c>
      <c r="K75">
        <f t="shared" si="2"/>
        <v>1001.2650000000001</v>
      </c>
      <c r="L75" t="str">
        <f t="shared" si="3"/>
        <v>Mar</v>
      </c>
    </row>
    <row r="76" spans="1:12" ht="15.75" customHeight="1">
      <c r="A76" s="8">
        <v>45003</v>
      </c>
      <c r="B76" s="9" t="s">
        <v>82</v>
      </c>
      <c r="C76" s="9" t="s">
        <v>83</v>
      </c>
      <c r="D76" s="9" t="s">
        <v>58</v>
      </c>
      <c r="E76" s="9" t="s">
        <v>62</v>
      </c>
      <c r="F76" s="9">
        <v>6</v>
      </c>
      <c r="G76" s="9">
        <v>111.89</v>
      </c>
      <c r="H76" s="9">
        <v>0.25</v>
      </c>
      <c r="I76" s="9">
        <v>503.51</v>
      </c>
      <c r="J76" s="9">
        <v>5</v>
      </c>
      <c r="K76">
        <f t="shared" si="2"/>
        <v>335.67499999999995</v>
      </c>
      <c r="L76" t="str">
        <f t="shared" si="3"/>
        <v>Mar</v>
      </c>
    </row>
    <row r="77" spans="1:12" ht="15.75" customHeight="1">
      <c r="A77" s="8">
        <v>45004</v>
      </c>
      <c r="B77" s="9" t="s">
        <v>66</v>
      </c>
      <c r="C77" s="9" t="s">
        <v>77</v>
      </c>
      <c r="D77" s="9" t="s">
        <v>50</v>
      </c>
      <c r="E77" s="9" t="s">
        <v>78</v>
      </c>
      <c r="F77" s="9">
        <v>5</v>
      </c>
      <c r="G77" s="9">
        <v>487.45</v>
      </c>
      <c r="H77" s="9">
        <v>0.2</v>
      </c>
      <c r="I77" s="9">
        <v>1949.81</v>
      </c>
      <c r="J77" s="9">
        <v>5</v>
      </c>
      <c r="K77">
        <f t="shared" si="2"/>
        <v>1462.36</v>
      </c>
      <c r="L77" t="str">
        <f t="shared" si="3"/>
        <v>Mar</v>
      </c>
    </row>
    <row r="78" spans="1:12" ht="15.75" customHeight="1">
      <c r="A78" s="8">
        <v>45005</v>
      </c>
      <c r="B78" s="9" t="s">
        <v>82</v>
      </c>
      <c r="C78" s="9" t="s">
        <v>85</v>
      </c>
      <c r="D78" s="9" t="s">
        <v>54</v>
      </c>
      <c r="E78" s="9" t="s">
        <v>86</v>
      </c>
      <c r="F78" s="9">
        <v>8</v>
      </c>
      <c r="G78" s="9">
        <v>98.23</v>
      </c>
      <c r="H78" s="9">
        <v>0.25</v>
      </c>
      <c r="I78" s="9">
        <v>589.4</v>
      </c>
      <c r="J78" s="9">
        <v>3</v>
      </c>
      <c r="K78">
        <f t="shared" si="2"/>
        <v>392.93999999999994</v>
      </c>
      <c r="L78" t="str">
        <f t="shared" si="3"/>
        <v>Mar</v>
      </c>
    </row>
    <row r="79" spans="1:12" ht="15.75" customHeight="1">
      <c r="A79" s="8">
        <v>45006</v>
      </c>
      <c r="B79" s="9" t="s">
        <v>56</v>
      </c>
      <c r="C79" s="9" t="s">
        <v>57</v>
      </c>
      <c r="D79" s="9" t="s">
        <v>58</v>
      </c>
      <c r="E79" s="9" t="s">
        <v>59</v>
      </c>
      <c r="F79" s="9">
        <v>7</v>
      </c>
      <c r="G79" s="9">
        <v>426.52</v>
      </c>
      <c r="H79" s="9">
        <v>0.25</v>
      </c>
      <c r="I79" s="9">
        <v>2239.2199999999998</v>
      </c>
      <c r="J79" s="9">
        <v>4</v>
      </c>
      <c r="K79">
        <f t="shared" si="2"/>
        <v>1492.81</v>
      </c>
      <c r="L79" t="str">
        <f t="shared" si="3"/>
        <v>Mar</v>
      </c>
    </row>
    <row r="80" spans="1:12" ht="15.75" customHeight="1">
      <c r="A80" s="8">
        <v>45007</v>
      </c>
      <c r="B80" s="9" t="s">
        <v>82</v>
      </c>
      <c r="C80" s="9" t="s">
        <v>90</v>
      </c>
      <c r="D80" s="9" t="s">
        <v>54</v>
      </c>
      <c r="E80" s="9" t="s">
        <v>63</v>
      </c>
      <c r="F80" s="9">
        <v>4</v>
      </c>
      <c r="G80" s="9">
        <v>472</v>
      </c>
      <c r="H80" s="9">
        <v>0.2</v>
      </c>
      <c r="I80" s="9">
        <v>1510.39</v>
      </c>
      <c r="J80" s="9">
        <v>4</v>
      </c>
      <c r="K80">
        <f t="shared" si="2"/>
        <v>1132.79</v>
      </c>
      <c r="L80" t="str">
        <f t="shared" si="3"/>
        <v>Mar</v>
      </c>
    </row>
    <row r="81" spans="1:12" ht="15.75" customHeight="1">
      <c r="A81" s="8">
        <v>45008</v>
      </c>
      <c r="B81" s="9" t="s">
        <v>56</v>
      </c>
      <c r="C81" s="9" t="s">
        <v>79</v>
      </c>
      <c r="D81" s="9" t="s">
        <v>71</v>
      </c>
      <c r="E81" s="9" t="s">
        <v>76</v>
      </c>
      <c r="F81" s="9">
        <v>2</v>
      </c>
      <c r="G81" s="9">
        <v>404.47</v>
      </c>
      <c r="H81" s="9">
        <v>0.25</v>
      </c>
      <c r="I81" s="9">
        <v>606.71</v>
      </c>
      <c r="J81" s="9">
        <v>4</v>
      </c>
      <c r="K81">
        <f t="shared" si="2"/>
        <v>404.47500000000002</v>
      </c>
      <c r="L81" t="str">
        <f t="shared" si="3"/>
        <v>Mar</v>
      </c>
    </row>
    <row r="82" spans="1:12" ht="15.75" customHeight="1">
      <c r="A82" s="8">
        <v>45008</v>
      </c>
      <c r="B82" s="9" t="s">
        <v>82</v>
      </c>
      <c r="C82" s="9" t="s">
        <v>89</v>
      </c>
      <c r="D82" s="9" t="s">
        <v>54</v>
      </c>
      <c r="E82" s="9" t="s">
        <v>55</v>
      </c>
      <c r="F82" s="9">
        <v>6</v>
      </c>
      <c r="G82" s="9">
        <v>441.43</v>
      </c>
      <c r="H82" s="9">
        <v>0.1</v>
      </c>
      <c r="I82" s="9">
        <v>2383.7199999999998</v>
      </c>
      <c r="J82" s="9">
        <v>5</v>
      </c>
      <c r="K82">
        <f t="shared" si="2"/>
        <v>2118.8619999999996</v>
      </c>
      <c r="L82" t="str">
        <f t="shared" si="3"/>
        <v>Mar</v>
      </c>
    </row>
    <row r="83" spans="1:12" ht="15.75" customHeight="1">
      <c r="A83" s="8">
        <v>45009</v>
      </c>
      <c r="B83" s="9" t="s">
        <v>52</v>
      </c>
      <c r="C83" s="9" t="s">
        <v>75</v>
      </c>
      <c r="D83" s="9" t="s">
        <v>58</v>
      </c>
      <c r="E83" s="9" t="s">
        <v>68</v>
      </c>
      <c r="F83" s="9">
        <v>6</v>
      </c>
      <c r="G83" s="9">
        <v>130.52000000000001</v>
      </c>
      <c r="H83" s="9">
        <v>0.25</v>
      </c>
      <c r="I83" s="9">
        <v>587.34</v>
      </c>
      <c r="J83" s="9">
        <v>5</v>
      </c>
      <c r="K83">
        <f t="shared" si="2"/>
        <v>391.56</v>
      </c>
      <c r="L83" t="str">
        <f t="shared" si="3"/>
        <v>Mar</v>
      </c>
    </row>
    <row r="84" spans="1:12" ht="15.75" customHeight="1">
      <c r="A84" s="8">
        <v>45011</v>
      </c>
      <c r="B84" s="9" t="s">
        <v>52</v>
      </c>
      <c r="C84" s="9" t="s">
        <v>73</v>
      </c>
      <c r="D84" s="9" t="s">
        <v>71</v>
      </c>
      <c r="E84" s="9" t="s">
        <v>72</v>
      </c>
      <c r="F84" s="9">
        <v>5</v>
      </c>
      <c r="G84" s="9">
        <v>297.51</v>
      </c>
      <c r="H84" s="9">
        <v>0</v>
      </c>
      <c r="I84" s="9">
        <v>1487.54</v>
      </c>
      <c r="J84" s="9">
        <v>4</v>
      </c>
      <c r="K84">
        <f t="shared" si="2"/>
        <v>1487.54</v>
      </c>
      <c r="L84" t="str">
        <f t="shared" si="3"/>
        <v>Mar</v>
      </c>
    </row>
    <row r="85" spans="1:12" ht="15.75" customHeight="1">
      <c r="A85" s="8">
        <v>45012</v>
      </c>
      <c r="B85" s="9" t="s">
        <v>66</v>
      </c>
      <c r="C85" s="9" t="s">
        <v>77</v>
      </c>
      <c r="D85" s="9" t="s">
        <v>54</v>
      </c>
      <c r="E85" s="9" t="s">
        <v>86</v>
      </c>
      <c r="F85" s="9">
        <v>7</v>
      </c>
      <c r="G85" s="9">
        <v>78.64</v>
      </c>
      <c r="H85" s="9">
        <v>0.2</v>
      </c>
      <c r="I85" s="9">
        <v>440.39</v>
      </c>
      <c r="J85" s="9">
        <v>4</v>
      </c>
      <c r="K85">
        <f t="shared" si="2"/>
        <v>330.29399999999998</v>
      </c>
      <c r="L85" t="str">
        <f t="shared" si="3"/>
        <v>Mar</v>
      </c>
    </row>
    <row r="86" spans="1:12" ht="15.75" customHeight="1">
      <c r="A86" s="8">
        <v>45012</v>
      </c>
      <c r="B86" s="9" t="s">
        <v>82</v>
      </c>
      <c r="C86" s="9" t="s">
        <v>90</v>
      </c>
      <c r="D86" s="9" t="s">
        <v>71</v>
      </c>
      <c r="E86" s="9" t="s">
        <v>88</v>
      </c>
      <c r="F86" s="9">
        <v>10</v>
      </c>
      <c r="G86" s="9">
        <v>431.6</v>
      </c>
      <c r="H86" s="9">
        <v>0</v>
      </c>
      <c r="I86" s="9">
        <v>4315.9799999999996</v>
      </c>
      <c r="J86" s="9">
        <v>4</v>
      </c>
      <c r="K86">
        <f t="shared" si="2"/>
        <v>4315.9799999999996</v>
      </c>
      <c r="L86" t="str">
        <f t="shared" si="3"/>
        <v>Mar</v>
      </c>
    </row>
    <row r="87" spans="1:12" ht="15.75" customHeight="1">
      <c r="A87" s="8">
        <v>45013</v>
      </c>
      <c r="B87" s="9" t="s">
        <v>48</v>
      </c>
      <c r="C87" s="9" t="s">
        <v>61</v>
      </c>
      <c r="D87" s="9" t="s">
        <v>58</v>
      </c>
      <c r="E87" s="9" t="s">
        <v>59</v>
      </c>
      <c r="F87" s="9">
        <v>9</v>
      </c>
      <c r="G87" s="9">
        <v>266.32</v>
      </c>
      <c r="H87" s="9">
        <v>0</v>
      </c>
      <c r="I87" s="9">
        <v>2396.86</v>
      </c>
      <c r="J87" s="9">
        <v>3</v>
      </c>
      <c r="K87">
        <f t="shared" si="2"/>
        <v>2396.86</v>
      </c>
      <c r="L87" t="str">
        <f t="shared" si="3"/>
        <v>Mar</v>
      </c>
    </row>
    <row r="88" spans="1:12" ht="15.75" customHeight="1">
      <c r="A88" s="8">
        <v>45014</v>
      </c>
      <c r="B88" s="9" t="s">
        <v>52</v>
      </c>
      <c r="C88" s="9" t="s">
        <v>80</v>
      </c>
      <c r="D88" s="9" t="s">
        <v>50</v>
      </c>
      <c r="E88" s="9" t="s">
        <v>51</v>
      </c>
      <c r="F88" s="9">
        <v>7</v>
      </c>
      <c r="G88" s="9">
        <v>95.44</v>
      </c>
      <c r="H88" s="9">
        <v>0</v>
      </c>
      <c r="I88" s="9">
        <v>668.08</v>
      </c>
      <c r="J88" s="9">
        <v>4</v>
      </c>
      <c r="K88">
        <f t="shared" si="2"/>
        <v>668.08</v>
      </c>
      <c r="L88" t="str">
        <f t="shared" si="3"/>
        <v>Mar</v>
      </c>
    </row>
    <row r="89" spans="1:12" ht="15.75" customHeight="1">
      <c r="A89" s="8">
        <v>45017</v>
      </c>
      <c r="B89" s="9" t="s">
        <v>52</v>
      </c>
      <c r="C89" s="9" t="s">
        <v>93</v>
      </c>
      <c r="D89" s="9" t="s">
        <v>54</v>
      </c>
      <c r="E89" s="9" t="s">
        <v>63</v>
      </c>
      <c r="F89" s="9">
        <v>10</v>
      </c>
      <c r="G89" s="9">
        <v>255.51</v>
      </c>
      <c r="H89" s="9">
        <v>0.3</v>
      </c>
      <c r="I89" s="9">
        <v>1788.57</v>
      </c>
      <c r="J89" s="9">
        <v>5</v>
      </c>
      <c r="K89">
        <f t="shared" si="2"/>
        <v>1022.04</v>
      </c>
      <c r="L89" t="str">
        <f t="shared" si="3"/>
        <v>Apr</v>
      </c>
    </row>
    <row r="90" spans="1:12" ht="15.75" customHeight="1">
      <c r="A90" s="8">
        <v>45018</v>
      </c>
      <c r="B90" s="9" t="s">
        <v>48</v>
      </c>
      <c r="C90" s="9" t="s">
        <v>60</v>
      </c>
      <c r="D90" s="9" t="s">
        <v>50</v>
      </c>
      <c r="E90" s="9" t="s">
        <v>65</v>
      </c>
      <c r="F90" s="9">
        <v>7</v>
      </c>
      <c r="G90" s="9">
        <v>278.97000000000003</v>
      </c>
      <c r="H90" s="9">
        <v>0.1</v>
      </c>
      <c r="I90" s="9">
        <v>1757.52</v>
      </c>
      <c r="J90" s="9">
        <v>5</v>
      </c>
      <c r="K90">
        <f t="shared" si="2"/>
        <v>1562.241</v>
      </c>
      <c r="L90" t="str">
        <f t="shared" si="3"/>
        <v>Apr</v>
      </c>
    </row>
    <row r="91" spans="1:12" ht="15.75" customHeight="1">
      <c r="A91" s="8">
        <v>45018</v>
      </c>
      <c r="B91" s="9" t="s">
        <v>52</v>
      </c>
      <c r="C91" s="9" t="s">
        <v>53</v>
      </c>
      <c r="D91" s="9" t="s">
        <v>71</v>
      </c>
      <c r="E91" s="9" t="s">
        <v>72</v>
      </c>
      <c r="F91" s="9">
        <v>6</v>
      </c>
      <c r="G91" s="9">
        <v>174.94</v>
      </c>
      <c r="H91" s="9">
        <v>0.1</v>
      </c>
      <c r="I91" s="9">
        <v>944.65</v>
      </c>
      <c r="J91" s="9">
        <v>5</v>
      </c>
      <c r="K91">
        <f t="shared" si="2"/>
        <v>839.68599999999992</v>
      </c>
      <c r="L91" t="str">
        <f t="shared" si="3"/>
        <v>Apr</v>
      </c>
    </row>
    <row r="92" spans="1:12" ht="15.75" customHeight="1">
      <c r="A92" s="8">
        <v>45019</v>
      </c>
      <c r="B92" s="9" t="s">
        <v>56</v>
      </c>
      <c r="C92" s="9" t="s">
        <v>57</v>
      </c>
      <c r="D92" s="9" t="s">
        <v>50</v>
      </c>
      <c r="E92" s="9" t="s">
        <v>51</v>
      </c>
      <c r="F92" s="9">
        <v>9</v>
      </c>
      <c r="G92" s="9">
        <v>382.51</v>
      </c>
      <c r="H92" s="9">
        <v>0.2</v>
      </c>
      <c r="I92" s="9">
        <v>2754.08</v>
      </c>
      <c r="J92" s="9">
        <v>5</v>
      </c>
      <c r="K92">
        <f t="shared" si="2"/>
        <v>2065.5619999999999</v>
      </c>
      <c r="L92" t="str">
        <f t="shared" si="3"/>
        <v>Apr</v>
      </c>
    </row>
    <row r="93" spans="1:12" ht="15.75" customHeight="1">
      <c r="A93" s="8">
        <v>45020</v>
      </c>
      <c r="B93" s="9" t="s">
        <v>52</v>
      </c>
      <c r="C93" s="9" t="s">
        <v>80</v>
      </c>
      <c r="D93" s="9" t="s">
        <v>50</v>
      </c>
      <c r="E93" s="9" t="s">
        <v>65</v>
      </c>
      <c r="F93" s="9">
        <v>5</v>
      </c>
      <c r="G93" s="9">
        <v>415.13</v>
      </c>
      <c r="H93" s="9">
        <v>0.1</v>
      </c>
      <c r="I93" s="9">
        <v>1868.09</v>
      </c>
      <c r="J93" s="9">
        <v>5</v>
      </c>
      <c r="K93">
        <f t="shared" si="2"/>
        <v>1660.5249999999999</v>
      </c>
      <c r="L93" t="str">
        <f t="shared" si="3"/>
        <v>Apr</v>
      </c>
    </row>
    <row r="94" spans="1:12" ht="15.75" customHeight="1">
      <c r="A94" s="8">
        <v>45021</v>
      </c>
      <c r="B94" s="9" t="s">
        <v>66</v>
      </c>
      <c r="C94" s="9" t="s">
        <v>77</v>
      </c>
      <c r="D94" s="9" t="s">
        <v>71</v>
      </c>
      <c r="E94" s="9" t="s">
        <v>88</v>
      </c>
      <c r="F94" s="9">
        <v>3</v>
      </c>
      <c r="G94" s="9">
        <v>295.85000000000002</v>
      </c>
      <c r="H94" s="9">
        <v>0</v>
      </c>
      <c r="I94" s="9">
        <v>887.55</v>
      </c>
      <c r="J94" s="9">
        <v>4</v>
      </c>
      <c r="K94">
        <f t="shared" si="2"/>
        <v>887.55</v>
      </c>
      <c r="L94" t="str">
        <f t="shared" si="3"/>
        <v>Apr</v>
      </c>
    </row>
    <row r="95" spans="1:12" ht="15.75" customHeight="1">
      <c r="A95" s="8">
        <v>45021</v>
      </c>
      <c r="B95" s="9" t="s">
        <v>48</v>
      </c>
      <c r="C95" s="9" t="s">
        <v>92</v>
      </c>
      <c r="D95" s="9" t="s">
        <v>50</v>
      </c>
      <c r="E95" s="9" t="s">
        <v>51</v>
      </c>
      <c r="F95" s="9">
        <v>9</v>
      </c>
      <c r="G95" s="9">
        <v>195.09</v>
      </c>
      <c r="H95" s="9">
        <v>0</v>
      </c>
      <c r="I95" s="9">
        <v>1755.78</v>
      </c>
      <c r="J95" s="9">
        <v>5</v>
      </c>
      <c r="K95">
        <f t="shared" si="2"/>
        <v>1755.78</v>
      </c>
      <c r="L95" t="str">
        <f t="shared" si="3"/>
        <v>Apr</v>
      </c>
    </row>
    <row r="96" spans="1:12" ht="15.75" customHeight="1">
      <c r="A96" s="8">
        <v>45021</v>
      </c>
      <c r="B96" s="9" t="s">
        <v>56</v>
      </c>
      <c r="C96" s="9" t="s">
        <v>70</v>
      </c>
      <c r="D96" s="9" t="s">
        <v>58</v>
      </c>
      <c r="E96" s="9" t="s">
        <v>59</v>
      </c>
      <c r="F96" s="9">
        <v>1</v>
      </c>
      <c r="G96" s="9">
        <v>18.87</v>
      </c>
      <c r="H96" s="9">
        <v>0.25</v>
      </c>
      <c r="I96" s="9">
        <v>14.16</v>
      </c>
      <c r="J96" s="9">
        <v>4</v>
      </c>
      <c r="K96">
        <f t="shared" si="2"/>
        <v>9.442499999999999</v>
      </c>
      <c r="L96" t="str">
        <f t="shared" si="3"/>
        <v>Apr</v>
      </c>
    </row>
    <row r="97" spans="1:12" ht="15.75" customHeight="1">
      <c r="A97" s="8">
        <v>45022</v>
      </c>
      <c r="B97" s="9" t="s">
        <v>82</v>
      </c>
      <c r="C97" s="9" t="s">
        <v>83</v>
      </c>
      <c r="D97" s="9" t="s">
        <v>58</v>
      </c>
      <c r="E97" s="9" t="s">
        <v>68</v>
      </c>
      <c r="F97" s="9">
        <v>1</v>
      </c>
      <c r="G97" s="9">
        <v>450.79</v>
      </c>
      <c r="H97" s="9">
        <v>0.1</v>
      </c>
      <c r="I97" s="9">
        <v>405.71</v>
      </c>
      <c r="J97" s="9">
        <v>5</v>
      </c>
      <c r="K97">
        <f t="shared" si="2"/>
        <v>360.63099999999997</v>
      </c>
      <c r="L97" t="str">
        <f t="shared" si="3"/>
        <v>Apr</v>
      </c>
    </row>
    <row r="98" spans="1:12" ht="15.75" customHeight="1">
      <c r="A98" s="8">
        <v>45024</v>
      </c>
      <c r="B98" s="9" t="s">
        <v>48</v>
      </c>
      <c r="C98" s="9" t="s">
        <v>81</v>
      </c>
      <c r="D98" s="9" t="s">
        <v>50</v>
      </c>
      <c r="E98" s="9" t="s">
        <v>51</v>
      </c>
      <c r="F98" s="9">
        <v>10</v>
      </c>
      <c r="G98" s="9">
        <v>413.07</v>
      </c>
      <c r="H98" s="9">
        <v>0.2</v>
      </c>
      <c r="I98" s="9">
        <v>3304.59</v>
      </c>
      <c r="J98" s="9">
        <v>4</v>
      </c>
      <c r="K98">
        <f t="shared" si="2"/>
        <v>2478.4500000000003</v>
      </c>
      <c r="L98" t="str">
        <f t="shared" si="3"/>
        <v>Apr</v>
      </c>
    </row>
    <row r="99" spans="1:12" ht="15.75" customHeight="1">
      <c r="A99" s="8">
        <v>45024</v>
      </c>
      <c r="B99" s="9" t="s">
        <v>48</v>
      </c>
      <c r="C99" s="9" t="s">
        <v>61</v>
      </c>
      <c r="D99" s="9" t="s">
        <v>54</v>
      </c>
      <c r="E99" s="9" t="s">
        <v>55</v>
      </c>
      <c r="F99" s="9">
        <v>4</v>
      </c>
      <c r="G99" s="9">
        <v>269.52999999999997</v>
      </c>
      <c r="H99" s="9">
        <v>0.1</v>
      </c>
      <c r="I99" s="9">
        <v>970.3</v>
      </c>
      <c r="J99" s="9">
        <v>3</v>
      </c>
      <c r="K99">
        <f t="shared" si="2"/>
        <v>862.48799999999994</v>
      </c>
      <c r="L99" t="str">
        <f t="shared" si="3"/>
        <v>Apr</v>
      </c>
    </row>
    <row r="100" spans="1:12" ht="15.75" customHeight="1">
      <c r="A100" s="8">
        <v>45025</v>
      </c>
      <c r="B100" s="9" t="s">
        <v>48</v>
      </c>
      <c r="C100" s="9" t="s">
        <v>81</v>
      </c>
      <c r="D100" s="9" t="s">
        <v>50</v>
      </c>
      <c r="E100" s="9" t="s">
        <v>51</v>
      </c>
      <c r="F100" s="9">
        <v>4</v>
      </c>
      <c r="G100" s="9">
        <v>414.96</v>
      </c>
      <c r="H100" s="9">
        <v>0.3</v>
      </c>
      <c r="I100" s="9">
        <v>1161.9000000000001</v>
      </c>
      <c r="J100" s="9">
        <v>4</v>
      </c>
      <c r="K100">
        <f t="shared" si="2"/>
        <v>663.94800000000009</v>
      </c>
      <c r="L100" t="str">
        <f t="shared" si="3"/>
        <v>Apr</v>
      </c>
    </row>
    <row r="101" spans="1:12" ht="15.75" customHeight="1">
      <c r="A101" s="8">
        <v>45025</v>
      </c>
      <c r="B101" s="9" t="s">
        <v>52</v>
      </c>
      <c r="C101" s="9" t="s">
        <v>75</v>
      </c>
      <c r="D101" s="9" t="s">
        <v>54</v>
      </c>
      <c r="E101" s="9" t="s">
        <v>63</v>
      </c>
      <c r="F101" s="9">
        <v>1</v>
      </c>
      <c r="G101" s="9">
        <v>477.88</v>
      </c>
      <c r="H101" s="9">
        <v>0.3</v>
      </c>
      <c r="I101" s="9">
        <v>334.52</v>
      </c>
      <c r="J101" s="9">
        <v>5</v>
      </c>
      <c r="K101">
        <f t="shared" si="2"/>
        <v>191.15599999999998</v>
      </c>
      <c r="L101" t="str">
        <f t="shared" si="3"/>
        <v>Apr</v>
      </c>
    </row>
    <row r="102" spans="1:12" ht="15.75" customHeight="1">
      <c r="A102" s="8">
        <v>45026</v>
      </c>
      <c r="B102" s="9" t="s">
        <v>52</v>
      </c>
      <c r="C102" s="9" t="s">
        <v>75</v>
      </c>
      <c r="D102" s="9" t="s">
        <v>50</v>
      </c>
      <c r="E102" s="9" t="s">
        <v>78</v>
      </c>
      <c r="F102" s="9">
        <v>8</v>
      </c>
      <c r="G102" s="9">
        <v>12.71</v>
      </c>
      <c r="H102" s="9">
        <v>0.2</v>
      </c>
      <c r="I102" s="9">
        <v>81.319999999999993</v>
      </c>
      <c r="J102" s="9">
        <v>4</v>
      </c>
      <c r="K102">
        <f t="shared" si="2"/>
        <v>60.983999999999995</v>
      </c>
      <c r="L102" t="str">
        <f t="shared" si="3"/>
        <v>Apr</v>
      </c>
    </row>
    <row r="103" spans="1:12" ht="15.75" customHeight="1">
      <c r="A103" s="8">
        <v>45027</v>
      </c>
      <c r="B103" s="9" t="s">
        <v>48</v>
      </c>
      <c r="C103" s="9" t="s">
        <v>92</v>
      </c>
      <c r="D103" s="9" t="s">
        <v>54</v>
      </c>
      <c r="E103" s="9" t="s">
        <v>86</v>
      </c>
      <c r="F103" s="9">
        <v>6</v>
      </c>
      <c r="G103" s="9">
        <v>378.68</v>
      </c>
      <c r="H103" s="9">
        <v>0.3</v>
      </c>
      <c r="I103" s="9">
        <v>1590.45</v>
      </c>
      <c r="J103" s="9">
        <v>5</v>
      </c>
      <c r="K103">
        <f t="shared" si="2"/>
        <v>908.82600000000014</v>
      </c>
      <c r="L103" t="str">
        <f t="shared" si="3"/>
        <v>Apr</v>
      </c>
    </row>
    <row r="104" spans="1:12" ht="15.75" customHeight="1">
      <c r="A104" s="8">
        <v>45027</v>
      </c>
      <c r="B104" s="9" t="s">
        <v>82</v>
      </c>
      <c r="C104" s="9" t="s">
        <v>85</v>
      </c>
      <c r="D104" s="9" t="s">
        <v>50</v>
      </c>
      <c r="E104" s="9" t="s">
        <v>78</v>
      </c>
      <c r="F104" s="9">
        <v>6</v>
      </c>
      <c r="G104" s="9">
        <v>470.52</v>
      </c>
      <c r="H104" s="9">
        <v>0.2</v>
      </c>
      <c r="I104" s="9">
        <v>2258.4899999999998</v>
      </c>
      <c r="J104" s="9">
        <v>4</v>
      </c>
      <c r="K104">
        <f t="shared" si="2"/>
        <v>1693.8659999999998</v>
      </c>
      <c r="L104" t="str">
        <f t="shared" si="3"/>
        <v>Apr</v>
      </c>
    </row>
    <row r="105" spans="1:12" ht="15.75" customHeight="1">
      <c r="A105" s="8">
        <v>45027</v>
      </c>
      <c r="B105" s="9" t="s">
        <v>56</v>
      </c>
      <c r="C105" s="9" t="s">
        <v>70</v>
      </c>
      <c r="D105" s="9" t="s">
        <v>71</v>
      </c>
      <c r="E105" s="9" t="s">
        <v>88</v>
      </c>
      <c r="F105" s="9">
        <v>5</v>
      </c>
      <c r="G105" s="9">
        <v>122.79</v>
      </c>
      <c r="H105" s="9">
        <v>0.2</v>
      </c>
      <c r="I105" s="9">
        <v>491.16</v>
      </c>
      <c r="J105" s="9">
        <v>4</v>
      </c>
      <c r="K105">
        <f t="shared" si="2"/>
        <v>368.37</v>
      </c>
      <c r="L105" t="str">
        <f t="shared" si="3"/>
        <v>Apr</v>
      </c>
    </row>
    <row r="106" spans="1:12" ht="15.75" customHeight="1">
      <c r="A106" s="8">
        <v>45029</v>
      </c>
      <c r="B106" s="9" t="s">
        <v>52</v>
      </c>
      <c r="C106" s="9" t="s">
        <v>93</v>
      </c>
      <c r="D106" s="9" t="s">
        <v>50</v>
      </c>
      <c r="E106" s="9" t="s">
        <v>51</v>
      </c>
      <c r="F106" s="9">
        <v>1</v>
      </c>
      <c r="G106" s="9">
        <v>343.12</v>
      </c>
      <c r="H106" s="9">
        <v>0</v>
      </c>
      <c r="I106" s="9">
        <v>343.12</v>
      </c>
      <c r="J106" s="9">
        <v>4</v>
      </c>
      <c r="K106">
        <f t="shared" si="2"/>
        <v>343.12</v>
      </c>
      <c r="L106" t="str">
        <f t="shared" si="3"/>
        <v>Apr</v>
      </c>
    </row>
    <row r="107" spans="1:12" ht="15.75" customHeight="1">
      <c r="A107" s="8">
        <v>45029</v>
      </c>
      <c r="B107" s="9" t="s">
        <v>66</v>
      </c>
      <c r="C107" s="9" t="s">
        <v>91</v>
      </c>
      <c r="D107" s="9" t="s">
        <v>54</v>
      </c>
      <c r="E107" s="9" t="s">
        <v>55</v>
      </c>
      <c r="F107" s="9">
        <v>3</v>
      </c>
      <c r="G107" s="9">
        <v>175.62</v>
      </c>
      <c r="H107" s="9">
        <v>0.25</v>
      </c>
      <c r="I107" s="9">
        <v>395.14</v>
      </c>
      <c r="J107" s="9">
        <v>4</v>
      </c>
      <c r="K107">
        <f t="shared" si="2"/>
        <v>263.42499999999995</v>
      </c>
      <c r="L107" t="str">
        <f t="shared" si="3"/>
        <v>Apr</v>
      </c>
    </row>
    <row r="108" spans="1:12" ht="15.75" customHeight="1">
      <c r="A108" s="8">
        <v>45029</v>
      </c>
      <c r="B108" s="9" t="s">
        <v>82</v>
      </c>
      <c r="C108" s="9" t="s">
        <v>87</v>
      </c>
      <c r="D108" s="9" t="s">
        <v>58</v>
      </c>
      <c r="E108" s="9" t="s">
        <v>68</v>
      </c>
      <c r="F108" s="9">
        <v>8</v>
      </c>
      <c r="G108" s="9">
        <v>453.62</v>
      </c>
      <c r="H108" s="9">
        <v>0.25</v>
      </c>
      <c r="I108" s="9">
        <v>2721.73</v>
      </c>
      <c r="J108" s="9">
        <v>5</v>
      </c>
      <c r="K108">
        <f t="shared" si="2"/>
        <v>1814.49</v>
      </c>
      <c r="L108" t="str">
        <f t="shared" si="3"/>
        <v>Apr</v>
      </c>
    </row>
    <row r="109" spans="1:12" ht="15.75" customHeight="1">
      <c r="A109" s="8">
        <v>45031</v>
      </c>
      <c r="B109" s="9" t="s">
        <v>82</v>
      </c>
      <c r="C109" s="9" t="s">
        <v>90</v>
      </c>
      <c r="D109" s="9" t="s">
        <v>71</v>
      </c>
      <c r="E109" s="9" t="s">
        <v>72</v>
      </c>
      <c r="F109" s="9">
        <v>8</v>
      </c>
      <c r="G109" s="9">
        <v>439.56</v>
      </c>
      <c r="H109" s="9">
        <v>0.2</v>
      </c>
      <c r="I109" s="9">
        <v>2813.21</v>
      </c>
      <c r="J109" s="9">
        <v>5</v>
      </c>
      <c r="K109">
        <f t="shared" si="2"/>
        <v>2109.9139999999998</v>
      </c>
      <c r="L109" t="str">
        <f t="shared" si="3"/>
        <v>Apr</v>
      </c>
    </row>
    <row r="110" spans="1:12" ht="15.75" customHeight="1">
      <c r="A110" s="8">
        <v>45031</v>
      </c>
      <c r="B110" s="9" t="s">
        <v>82</v>
      </c>
      <c r="C110" s="9" t="s">
        <v>90</v>
      </c>
      <c r="D110" s="9" t="s">
        <v>71</v>
      </c>
      <c r="E110" s="9" t="s">
        <v>72</v>
      </c>
      <c r="F110" s="9">
        <v>3</v>
      </c>
      <c r="G110" s="9">
        <v>75.59</v>
      </c>
      <c r="H110" s="9">
        <v>0.3</v>
      </c>
      <c r="I110" s="9">
        <v>158.72999999999999</v>
      </c>
      <c r="J110" s="9">
        <v>5</v>
      </c>
      <c r="K110">
        <f t="shared" si="2"/>
        <v>90.698999999999984</v>
      </c>
      <c r="L110" t="str">
        <f t="shared" si="3"/>
        <v>Apr</v>
      </c>
    </row>
    <row r="111" spans="1:12" ht="15.75" customHeight="1">
      <c r="A111" s="8">
        <v>45031</v>
      </c>
      <c r="B111" s="9" t="s">
        <v>52</v>
      </c>
      <c r="C111" s="9" t="s">
        <v>93</v>
      </c>
      <c r="D111" s="9" t="s">
        <v>54</v>
      </c>
      <c r="E111" s="9" t="s">
        <v>63</v>
      </c>
      <c r="F111" s="9">
        <v>9</v>
      </c>
      <c r="G111" s="9">
        <v>446.36</v>
      </c>
      <c r="H111" s="9">
        <v>0.25</v>
      </c>
      <c r="I111" s="9">
        <v>3012.92</v>
      </c>
      <c r="J111" s="9">
        <v>3</v>
      </c>
      <c r="K111">
        <f t="shared" si="2"/>
        <v>2008.6100000000001</v>
      </c>
      <c r="L111" t="str">
        <f t="shared" si="3"/>
        <v>Apr</v>
      </c>
    </row>
    <row r="112" spans="1:12" ht="15.75" customHeight="1">
      <c r="A112" s="8">
        <v>45032</v>
      </c>
      <c r="B112" s="9" t="s">
        <v>66</v>
      </c>
      <c r="C112" s="9" t="s">
        <v>69</v>
      </c>
      <c r="D112" s="9" t="s">
        <v>54</v>
      </c>
      <c r="E112" s="9" t="s">
        <v>55</v>
      </c>
      <c r="F112" s="9">
        <v>7</v>
      </c>
      <c r="G112" s="9">
        <v>266.57</v>
      </c>
      <c r="H112" s="9">
        <v>0</v>
      </c>
      <c r="I112" s="9">
        <v>1865.96</v>
      </c>
      <c r="J112" s="9">
        <v>5</v>
      </c>
      <c r="K112">
        <f t="shared" si="2"/>
        <v>1865.96</v>
      </c>
      <c r="L112" t="str">
        <f t="shared" si="3"/>
        <v>Apr</v>
      </c>
    </row>
    <row r="113" spans="1:12" ht="15.75" customHeight="1">
      <c r="A113" s="8">
        <v>45036</v>
      </c>
      <c r="B113" s="9" t="s">
        <v>56</v>
      </c>
      <c r="C113" s="9" t="s">
        <v>74</v>
      </c>
      <c r="D113" s="9" t="s">
        <v>71</v>
      </c>
      <c r="E113" s="9" t="s">
        <v>72</v>
      </c>
      <c r="F113" s="9">
        <v>9</v>
      </c>
      <c r="G113" s="9">
        <v>374.68</v>
      </c>
      <c r="H113" s="9">
        <v>0.1</v>
      </c>
      <c r="I113" s="9">
        <v>3034.93</v>
      </c>
      <c r="J113" s="9">
        <v>4</v>
      </c>
      <c r="K113">
        <f t="shared" si="2"/>
        <v>2697.7179999999998</v>
      </c>
      <c r="L113" t="str">
        <f t="shared" si="3"/>
        <v>Apr</v>
      </c>
    </row>
    <row r="114" spans="1:12" ht="15.75" customHeight="1">
      <c r="A114" s="8">
        <v>45037</v>
      </c>
      <c r="B114" s="9" t="s">
        <v>56</v>
      </c>
      <c r="C114" s="9" t="s">
        <v>79</v>
      </c>
      <c r="D114" s="9" t="s">
        <v>58</v>
      </c>
      <c r="E114" s="9" t="s">
        <v>68</v>
      </c>
      <c r="F114" s="9">
        <v>7</v>
      </c>
      <c r="G114" s="9">
        <v>219.87</v>
      </c>
      <c r="H114" s="9">
        <v>0.25</v>
      </c>
      <c r="I114" s="9">
        <v>1154.3399999999999</v>
      </c>
      <c r="J114" s="9">
        <v>5</v>
      </c>
      <c r="K114">
        <f t="shared" si="2"/>
        <v>769.56749999999988</v>
      </c>
      <c r="L114" t="str">
        <f t="shared" si="3"/>
        <v>Apr</v>
      </c>
    </row>
    <row r="115" spans="1:12" ht="15.75" customHeight="1">
      <c r="A115" s="8">
        <v>45038</v>
      </c>
      <c r="B115" s="9" t="s">
        <v>52</v>
      </c>
      <c r="C115" s="9" t="s">
        <v>53</v>
      </c>
      <c r="D115" s="9" t="s">
        <v>58</v>
      </c>
      <c r="E115" s="9" t="s">
        <v>68</v>
      </c>
      <c r="F115" s="9">
        <v>4</v>
      </c>
      <c r="G115" s="9">
        <v>399.07</v>
      </c>
      <c r="H115" s="9">
        <v>0.3</v>
      </c>
      <c r="I115" s="9">
        <v>1117.4000000000001</v>
      </c>
      <c r="J115" s="9">
        <v>3</v>
      </c>
      <c r="K115">
        <f t="shared" si="2"/>
        <v>638.51600000000008</v>
      </c>
      <c r="L115" t="str">
        <f t="shared" si="3"/>
        <v>Apr</v>
      </c>
    </row>
    <row r="116" spans="1:12" ht="15.75" customHeight="1">
      <c r="A116" s="8">
        <v>45038</v>
      </c>
      <c r="B116" s="9" t="s">
        <v>82</v>
      </c>
      <c r="C116" s="9" t="s">
        <v>85</v>
      </c>
      <c r="D116" s="9" t="s">
        <v>50</v>
      </c>
      <c r="E116" s="9" t="s">
        <v>65</v>
      </c>
      <c r="F116" s="9">
        <v>8</v>
      </c>
      <c r="G116" s="9">
        <v>423.82</v>
      </c>
      <c r="H116" s="9">
        <v>0.3</v>
      </c>
      <c r="I116" s="9">
        <v>2373.4</v>
      </c>
      <c r="J116" s="9">
        <v>4</v>
      </c>
      <c r="K116">
        <f t="shared" si="2"/>
        <v>1356.2320000000002</v>
      </c>
      <c r="L116" t="str">
        <f t="shared" si="3"/>
        <v>Apr</v>
      </c>
    </row>
    <row r="117" spans="1:12" ht="15.75" customHeight="1">
      <c r="A117" s="8">
        <v>45039</v>
      </c>
      <c r="B117" s="9" t="s">
        <v>66</v>
      </c>
      <c r="C117" s="9" t="s">
        <v>69</v>
      </c>
      <c r="D117" s="9" t="s">
        <v>58</v>
      </c>
      <c r="E117" s="9" t="s">
        <v>68</v>
      </c>
      <c r="F117" s="9">
        <v>3</v>
      </c>
      <c r="G117" s="9">
        <v>444.98</v>
      </c>
      <c r="H117" s="9">
        <v>0.2</v>
      </c>
      <c r="I117" s="9">
        <v>1067.94</v>
      </c>
      <c r="J117" s="9">
        <v>4</v>
      </c>
      <c r="K117">
        <f t="shared" si="2"/>
        <v>800.952</v>
      </c>
      <c r="L117" t="str">
        <f t="shared" si="3"/>
        <v>Apr</v>
      </c>
    </row>
    <row r="118" spans="1:12" ht="15.75" customHeight="1">
      <c r="A118" s="8">
        <v>45042</v>
      </c>
      <c r="B118" s="9" t="s">
        <v>82</v>
      </c>
      <c r="C118" s="9" t="s">
        <v>89</v>
      </c>
      <c r="D118" s="9" t="s">
        <v>54</v>
      </c>
      <c r="E118" s="9" t="s">
        <v>63</v>
      </c>
      <c r="F118" s="9">
        <v>3</v>
      </c>
      <c r="G118" s="9">
        <v>453.04</v>
      </c>
      <c r="H118" s="9">
        <v>0.25</v>
      </c>
      <c r="I118" s="9">
        <v>1019.33</v>
      </c>
      <c r="J118" s="9">
        <v>3</v>
      </c>
      <c r="K118">
        <f t="shared" si="2"/>
        <v>679.55</v>
      </c>
      <c r="L118" t="str">
        <f t="shared" si="3"/>
        <v>Apr</v>
      </c>
    </row>
    <row r="119" spans="1:12" ht="15.75" customHeight="1">
      <c r="A119" s="8">
        <v>45043</v>
      </c>
      <c r="B119" s="9" t="s">
        <v>48</v>
      </c>
      <c r="C119" s="9" t="s">
        <v>49</v>
      </c>
      <c r="D119" s="9" t="s">
        <v>50</v>
      </c>
      <c r="E119" s="9" t="s">
        <v>51</v>
      </c>
      <c r="F119" s="9">
        <v>6</v>
      </c>
      <c r="G119" s="9">
        <v>355.49</v>
      </c>
      <c r="H119" s="9">
        <v>0.1</v>
      </c>
      <c r="I119" s="9">
        <v>1919.65</v>
      </c>
      <c r="J119" s="9">
        <v>4</v>
      </c>
      <c r="K119">
        <f t="shared" si="2"/>
        <v>1706.356</v>
      </c>
      <c r="L119" t="str">
        <f t="shared" si="3"/>
        <v>Apr</v>
      </c>
    </row>
    <row r="120" spans="1:12" ht="15.75" customHeight="1">
      <c r="A120" s="8">
        <v>45043</v>
      </c>
      <c r="B120" s="9" t="s">
        <v>56</v>
      </c>
      <c r="C120" s="9" t="s">
        <v>74</v>
      </c>
      <c r="D120" s="9" t="s">
        <v>50</v>
      </c>
      <c r="E120" s="9" t="s">
        <v>51</v>
      </c>
      <c r="F120" s="9">
        <v>7</v>
      </c>
      <c r="G120" s="9">
        <v>33.380000000000003</v>
      </c>
      <c r="H120" s="9">
        <v>0.1</v>
      </c>
      <c r="I120" s="9">
        <v>210.3</v>
      </c>
      <c r="J120" s="9">
        <v>4</v>
      </c>
      <c r="K120">
        <f t="shared" si="2"/>
        <v>186.934</v>
      </c>
      <c r="L120" t="str">
        <f t="shared" si="3"/>
        <v>Apr</v>
      </c>
    </row>
    <row r="121" spans="1:12" ht="15.75" customHeight="1">
      <c r="A121" s="8">
        <v>45044</v>
      </c>
      <c r="B121" s="9" t="s">
        <v>48</v>
      </c>
      <c r="C121" s="9" t="s">
        <v>49</v>
      </c>
      <c r="D121" s="9" t="s">
        <v>50</v>
      </c>
      <c r="E121" s="9" t="s">
        <v>65</v>
      </c>
      <c r="F121" s="9">
        <v>2</v>
      </c>
      <c r="G121" s="9">
        <v>447.03</v>
      </c>
      <c r="H121" s="9">
        <v>0.1</v>
      </c>
      <c r="I121" s="9">
        <v>804.65</v>
      </c>
      <c r="J121" s="9">
        <v>5</v>
      </c>
      <c r="K121">
        <f t="shared" si="2"/>
        <v>715.24399999999991</v>
      </c>
      <c r="L121" t="str">
        <f t="shared" si="3"/>
        <v>Apr</v>
      </c>
    </row>
    <row r="122" spans="1:12" ht="15.75" customHeight="1">
      <c r="A122" s="8">
        <v>45044</v>
      </c>
      <c r="B122" s="9" t="s">
        <v>66</v>
      </c>
      <c r="C122" s="9" t="s">
        <v>67</v>
      </c>
      <c r="D122" s="9" t="s">
        <v>54</v>
      </c>
      <c r="E122" s="9" t="s">
        <v>86</v>
      </c>
      <c r="F122" s="9">
        <v>10</v>
      </c>
      <c r="G122" s="9">
        <v>312.93</v>
      </c>
      <c r="H122" s="9">
        <v>0.3</v>
      </c>
      <c r="I122" s="9">
        <v>2190.4899999999998</v>
      </c>
      <c r="J122" s="9">
        <v>5</v>
      </c>
      <c r="K122">
        <f t="shared" si="2"/>
        <v>1251.6999999999998</v>
      </c>
      <c r="L122" t="str">
        <f t="shared" si="3"/>
        <v>Apr</v>
      </c>
    </row>
    <row r="123" spans="1:12" ht="15.75" customHeight="1">
      <c r="A123" s="8">
        <v>45047</v>
      </c>
      <c r="B123" s="9" t="s">
        <v>66</v>
      </c>
      <c r="C123" s="9" t="s">
        <v>91</v>
      </c>
      <c r="D123" s="9" t="s">
        <v>58</v>
      </c>
      <c r="E123" s="9" t="s">
        <v>68</v>
      </c>
      <c r="F123" s="9">
        <v>9</v>
      </c>
      <c r="G123" s="9">
        <v>425.1</v>
      </c>
      <c r="H123" s="9">
        <v>0</v>
      </c>
      <c r="I123" s="9">
        <v>3825.9</v>
      </c>
      <c r="J123" s="9">
        <v>4</v>
      </c>
      <c r="K123">
        <f t="shared" si="2"/>
        <v>3825.9</v>
      </c>
      <c r="L123" t="str">
        <f t="shared" si="3"/>
        <v>May</v>
      </c>
    </row>
    <row r="124" spans="1:12" ht="15.75" customHeight="1">
      <c r="A124" s="8">
        <v>45048</v>
      </c>
      <c r="B124" s="9" t="s">
        <v>82</v>
      </c>
      <c r="C124" s="9" t="s">
        <v>85</v>
      </c>
      <c r="D124" s="9" t="s">
        <v>54</v>
      </c>
      <c r="E124" s="9" t="s">
        <v>55</v>
      </c>
      <c r="F124" s="9">
        <v>2</v>
      </c>
      <c r="G124" s="9">
        <v>345.27</v>
      </c>
      <c r="H124" s="9">
        <v>0.25</v>
      </c>
      <c r="I124" s="9">
        <v>517.91</v>
      </c>
      <c r="J124" s="9">
        <v>4</v>
      </c>
      <c r="K124">
        <f t="shared" si="2"/>
        <v>345.27499999999998</v>
      </c>
      <c r="L124" t="str">
        <f t="shared" si="3"/>
        <v>May</v>
      </c>
    </row>
    <row r="125" spans="1:12" ht="15.75" customHeight="1">
      <c r="A125" s="8">
        <v>45049</v>
      </c>
      <c r="B125" s="9" t="s">
        <v>48</v>
      </c>
      <c r="C125" s="9" t="s">
        <v>61</v>
      </c>
      <c r="D125" s="9" t="s">
        <v>58</v>
      </c>
      <c r="E125" s="9" t="s">
        <v>59</v>
      </c>
      <c r="F125" s="9">
        <v>2</v>
      </c>
      <c r="G125" s="9">
        <v>239.64</v>
      </c>
      <c r="H125" s="9">
        <v>0.1</v>
      </c>
      <c r="I125" s="9">
        <v>431.36</v>
      </c>
      <c r="J125" s="9">
        <v>4</v>
      </c>
      <c r="K125">
        <f t="shared" si="2"/>
        <v>383.43200000000002</v>
      </c>
      <c r="L125" t="str">
        <f t="shared" si="3"/>
        <v>May</v>
      </c>
    </row>
    <row r="126" spans="1:12" ht="15.75" customHeight="1">
      <c r="A126" s="8">
        <v>45050</v>
      </c>
      <c r="B126" s="9" t="s">
        <v>52</v>
      </c>
      <c r="C126" s="9" t="s">
        <v>75</v>
      </c>
      <c r="D126" s="9" t="s">
        <v>54</v>
      </c>
      <c r="E126" s="9" t="s">
        <v>55</v>
      </c>
      <c r="F126" s="9">
        <v>5</v>
      </c>
      <c r="G126" s="9">
        <v>380.97</v>
      </c>
      <c r="H126" s="9">
        <v>0.2</v>
      </c>
      <c r="I126" s="9">
        <v>1523.88</v>
      </c>
      <c r="J126" s="9">
        <v>3</v>
      </c>
      <c r="K126">
        <f t="shared" si="2"/>
        <v>1142.9100000000001</v>
      </c>
      <c r="L126" t="str">
        <f t="shared" si="3"/>
        <v>May</v>
      </c>
    </row>
    <row r="127" spans="1:12" ht="15.75" customHeight="1">
      <c r="A127" s="8">
        <v>45051</v>
      </c>
      <c r="B127" s="9" t="s">
        <v>48</v>
      </c>
      <c r="C127" s="9" t="s">
        <v>49</v>
      </c>
      <c r="D127" s="9" t="s">
        <v>54</v>
      </c>
      <c r="E127" s="9" t="s">
        <v>55</v>
      </c>
      <c r="F127" s="9">
        <v>9</v>
      </c>
      <c r="G127" s="9">
        <v>167.18</v>
      </c>
      <c r="H127" s="9">
        <v>0.3</v>
      </c>
      <c r="I127" s="9">
        <v>1053.25</v>
      </c>
      <c r="J127" s="9">
        <v>4</v>
      </c>
      <c r="K127">
        <f t="shared" si="2"/>
        <v>601.86400000000003</v>
      </c>
      <c r="L127" t="str">
        <f t="shared" si="3"/>
        <v>May</v>
      </c>
    </row>
    <row r="128" spans="1:12" ht="15.75" customHeight="1">
      <c r="A128" s="8">
        <v>45053</v>
      </c>
      <c r="B128" s="9" t="s">
        <v>48</v>
      </c>
      <c r="C128" s="9" t="s">
        <v>61</v>
      </c>
      <c r="D128" s="9" t="s">
        <v>58</v>
      </c>
      <c r="E128" s="9" t="s">
        <v>62</v>
      </c>
      <c r="F128" s="9">
        <v>2</v>
      </c>
      <c r="G128" s="9">
        <v>52.59</v>
      </c>
      <c r="H128" s="9">
        <v>0.1</v>
      </c>
      <c r="I128" s="9">
        <v>94.66</v>
      </c>
      <c r="J128" s="9">
        <v>3</v>
      </c>
      <c r="K128">
        <f t="shared" si="2"/>
        <v>84.141999999999996</v>
      </c>
      <c r="L128" t="str">
        <f t="shared" si="3"/>
        <v>May</v>
      </c>
    </row>
    <row r="129" spans="1:12" ht="15.75" customHeight="1">
      <c r="A129" s="8">
        <v>45054</v>
      </c>
      <c r="B129" s="9" t="s">
        <v>82</v>
      </c>
      <c r="C129" s="9" t="s">
        <v>85</v>
      </c>
      <c r="D129" s="9" t="s">
        <v>54</v>
      </c>
      <c r="E129" s="9" t="s">
        <v>63</v>
      </c>
      <c r="F129" s="9">
        <v>8</v>
      </c>
      <c r="G129" s="9">
        <v>449.42</v>
      </c>
      <c r="H129" s="9">
        <v>0.2</v>
      </c>
      <c r="I129" s="9">
        <v>2876.26</v>
      </c>
      <c r="J129" s="9">
        <v>4</v>
      </c>
      <c r="K129">
        <f t="shared" si="2"/>
        <v>2157.1880000000001</v>
      </c>
      <c r="L129" t="str">
        <f t="shared" si="3"/>
        <v>May</v>
      </c>
    </row>
    <row r="130" spans="1:12" ht="15.75" customHeight="1">
      <c r="A130" s="8">
        <v>45058</v>
      </c>
      <c r="B130" s="9" t="s">
        <v>82</v>
      </c>
      <c r="C130" s="9" t="s">
        <v>87</v>
      </c>
      <c r="D130" s="9" t="s">
        <v>50</v>
      </c>
      <c r="E130" s="9" t="s">
        <v>65</v>
      </c>
      <c r="F130" s="9">
        <v>9</v>
      </c>
      <c r="G130" s="9">
        <v>12.27</v>
      </c>
      <c r="H130" s="9">
        <v>0</v>
      </c>
      <c r="I130" s="9">
        <v>110.43</v>
      </c>
      <c r="J130" s="9">
        <v>4</v>
      </c>
      <c r="K130">
        <f t="shared" si="2"/>
        <v>110.43</v>
      </c>
      <c r="L130" t="str">
        <f t="shared" si="3"/>
        <v>May</v>
      </c>
    </row>
    <row r="131" spans="1:12" ht="15.75" customHeight="1">
      <c r="A131" s="8">
        <v>45059</v>
      </c>
      <c r="B131" s="9" t="s">
        <v>82</v>
      </c>
      <c r="C131" s="9" t="s">
        <v>83</v>
      </c>
      <c r="D131" s="9" t="s">
        <v>50</v>
      </c>
      <c r="E131" s="9" t="s">
        <v>51</v>
      </c>
      <c r="F131" s="9">
        <v>6</v>
      </c>
      <c r="G131" s="9">
        <v>186.15</v>
      </c>
      <c r="H131" s="9">
        <v>0.3</v>
      </c>
      <c r="I131" s="9">
        <v>781.83</v>
      </c>
      <c r="J131" s="9">
        <v>4</v>
      </c>
      <c r="K131">
        <f t="shared" ref="K131:K194" si="4">I131-(G131*F131*H131)</f>
        <v>446.76000000000005</v>
      </c>
      <c r="L131" t="str">
        <f t="shared" ref="L131:L194" si="5">TEXT(A131,"MMM")</f>
        <v>May</v>
      </c>
    </row>
    <row r="132" spans="1:12" ht="15.75" customHeight="1">
      <c r="A132" s="8">
        <v>45059</v>
      </c>
      <c r="B132" s="9" t="s">
        <v>66</v>
      </c>
      <c r="C132" s="9" t="s">
        <v>84</v>
      </c>
      <c r="D132" s="9" t="s">
        <v>71</v>
      </c>
      <c r="E132" s="9" t="s">
        <v>72</v>
      </c>
      <c r="F132" s="9">
        <v>7</v>
      </c>
      <c r="G132" s="9">
        <v>242.93</v>
      </c>
      <c r="H132" s="9">
        <v>0.3</v>
      </c>
      <c r="I132" s="9">
        <v>1190.3599999999999</v>
      </c>
      <c r="J132" s="9">
        <v>4</v>
      </c>
      <c r="K132">
        <f t="shared" si="4"/>
        <v>680.20699999999988</v>
      </c>
      <c r="L132" t="str">
        <f t="shared" si="5"/>
        <v>May</v>
      </c>
    </row>
    <row r="133" spans="1:12" ht="15.75" customHeight="1">
      <c r="A133" s="8">
        <v>45060</v>
      </c>
      <c r="B133" s="9" t="s">
        <v>48</v>
      </c>
      <c r="C133" s="9" t="s">
        <v>92</v>
      </c>
      <c r="D133" s="9" t="s">
        <v>50</v>
      </c>
      <c r="E133" s="9" t="s">
        <v>65</v>
      </c>
      <c r="F133" s="9">
        <v>4</v>
      </c>
      <c r="G133" s="9">
        <v>12.6</v>
      </c>
      <c r="H133" s="9">
        <v>0</v>
      </c>
      <c r="I133" s="9">
        <v>50.39</v>
      </c>
      <c r="J133" s="9">
        <v>5</v>
      </c>
      <c r="K133">
        <f t="shared" si="4"/>
        <v>50.39</v>
      </c>
      <c r="L133" t="str">
        <f t="shared" si="5"/>
        <v>May</v>
      </c>
    </row>
    <row r="134" spans="1:12" ht="15.75" customHeight="1">
      <c r="A134" s="8">
        <v>45062</v>
      </c>
      <c r="B134" s="9" t="s">
        <v>56</v>
      </c>
      <c r="C134" s="9" t="s">
        <v>57</v>
      </c>
      <c r="D134" s="9" t="s">
        <v>50</v>
      </c>
      <c r="E134" s="9" t="s">
        <v>65</v>
      </c>
      <c r="F134" s="9">
        <v>3</v>
      </c>
      <c r="G134" s="9">
        <v>386.59</v>
      </c>
      <c r="H134" s="9">
        <v>0</v>
      </c>
      <c r="I134" s="9">
        <v>1159.77</v>
      </c>
      <c r="J134" s="9">
        <v>4</v>
      </c>
      <c r="K134">
        <f t="shared" si="4"/>
        <v>1159.77</v>
      </c>
      <c r="L134" t="str">
        <f t="shared" si="5"/>
        <v>May</v>
      </c>
    </row>
    <row r="135" spans="1:12" ht="15.75" customHeight="1">
      <c r="A135" s="8">
        <v>45062</v>
      </c>
      <c r="B135" s="9" t="s">
        <v>52</v>
      </c>
      <c r="C135" s="9" t="s">
        <v>93</v>
      </c>
      <c r="D135" s="9" t="s">
        <v>71</v>
      </c>
      <c r="E135" s="9" t="s">
        <v>88</v>
      </c>
      <c r="F135" s="9">
        <v>1</v>
      </c>
      <c r="G135" s="9">
        <v>159.08000000000001</v>
      </c>
      <c r="H135" s="9">
        <v>0.3</v>
      </c>
      <c r="I135" s="9">
        <v>111.36</v>
      </c>
      <c r="J135" s="9">
        <v>4</v>
      </c>
      <c r="K135">
        <f t="shared" si="4"/>
        <v>63.635999999999996</v>
      </c>
      <c r="L135" t="str">
        <f t="shared" si="5"/>
        <v>May</v>
      </c>
    </row>
    <row r="136" spans="1:12" ht="15.75" customHeight="1">
      <c r="A136" s="8">
        <v>45063</v>
      </c>
      <c r="B136" s="9" t="s">
        <v>52</v>
      </c>
      <c r="C136" s="9" t="s">
        <v>73</v>
      </c>
      <c r="D136" s="9" t="s">
        <v>71</v>
      </c>
      <c r="E136" s="9" t="s">
        <v>72</v>
      </c>
      <c r="F136" s="9">
        <v>6</v>
      </c>
      <c r="G136" s="9">
        <v>408.27</v>
      </c>
      <c r="H136" s="9">
        <v>0</v>
      </c>
      <c r="I136" s="9">
        <v>2449.63</v>
      </c>
      <c r="J136" s="9">
        <v>5</v>
      </c>
      <c r="K136">
        <f t="shared" si="4"/>
        <v>2449.63</v>
      </c>
      <c r="L136" t="str">
        <f t="shared" si="5"/>
        <v>May</v>
      </c>
    </row>
    <row r="137" spans="1:12" ht="15.75" customHeight="1">
      <c r="A137" s="8">
        <v>45064</v>
      </c>
      <c r="B137" s="9" t="s">
        <v>82</v>
      </c>
      <c r="C137" s="9" t="s">
        <v>89</v>
      </c>
      <c r="D137" s="9" t="s">
        <v>50</v>
      </c>
      <c r="E137" s="9" t="s">
        <v>51</v>
      </c>
      <c r="F137" s="9">
        <v>10</v>
      </c>
      <c r="G137" s="9">
        <v>348.29</v>
      </c>
      <c r="H137" s="9">
        <v>0</v>
      </c>
      <c r="I137" s="9">
        <v>3482.93</v>
      </c>
      <c r="J137" s="9">
        <v>4</v>
      </c>
      <c r="K137">
        <f t="shared" si="4"/>
        <v>3482.93</v>
      </c>
      <c r="L137" t="str">
        <f t="shared" si="5"/>
        <v>May</v>
      </c>
    </row>
    <row r="138" spans="1:12" ht="15.75" customHeight="1">
      <c r="A138" s="8">
        <v>45064</v>
      </c>
      <c r="B138" s="9" t="s">
        <v>52</v>
      </c>
      <c r="C138" s="9" t="s">
        <v>75</v>
      </c>
      <c r="D138" s="9" t="s">
        <v>58</v>
      </c>
      <c r="E138" s="9" t="s">
        <v>62</v>
      </c>
      <c r="F138" s="9">
        <v>3</v>
      </c>
      <c r="G138" s="9">
        <v>93.05</v>
      </c>
      <c r="H138" s="9">
        <v>0</v>
      </c>
      <c r="I138" s="9">
        <v>279.14999999999998</v>
      </c>
      <c r="J138" s="9">
        <v>4</v>
      </c>
      <c r="K138">
        <f t="shared" si="4"/>
        <v>279.14999999999998</v>
      </c>
      <c r="L138" t="str">
        <f t="shared" si="5"/>
        <v>May</v>
      </c>
    </row>
    <row r="139" spans="1:12" ht="15.75" customHeight="1">
      <c r="A139" s="8">
        <v>45066</v>
      </c>
      <c r="B139" s="9" t="s">
        <v>82</v>
      </c>
      <c r="C139" s="9" t="s">
        <v>89</v>
      </c>
      <c r="D139" s="9" t="s">
        <v>54</v>
      </c>
      <c r="E139" s="9" t="s">
        <v>86</v>
      </c>
      <c r="F139" s="9">
        <v>1</v>
      </c>
      <c r="G139" s="9">
        <v>13.69</v>
      </c>
      <c r="H139" s="9">
        <v>0.3</v>
      </c>
      <c r="I139" s="9">
        <v>9.58</v>
      </c>
      <c r="J139" s="9">
        <v>5</v>
      </c>
      <c r="K139">
        <f t="shared" si="4"/>
        <v>5.4730000000000008</v>
      </c>
      <c r="L139" t="str">
        <f t="shared" si="5"/>
        <v>May</v>
      </c>
    </row>
    <row r="140" spans="1:12" ht="15.75" customHeight="1">
      <c r="A140" s="8">
        <v>45066</v>
      </c>
      <c r="B140" s="9" t="s">
        <v>66</v>
      </c>
      <c r="C140" s="9" t="s">
        <v>67</v>
      </c>
      <c r="D140" s="9" t="s">
        <v>54</v>
      </c>
      <c r="E140" s="9" t="s">
        <v>55</v>
      </c>
      <c r="F140" s="9">
        <v>5</v>
      </c>
      <c r="G140" s="9">
        <v>230.77</v>
      </c>
      <c r="H140" s="9">
        <v>0</v>
      </c>
      <c r="I140" s="9">
        <v>1153.83</v>
      </c>
      <c r="J140" s="9">
        <v>4</v>
      </c>
      <c r="K140">
        <f t="shared" si="4"/>
        <v>1153.83</v>
      </c>
      <c r="L140" t="str">
        <f t="shared" si="5"/>
        <v>May</v>
      </c>
    </row>
    <row r="141" spans="1:12" ht="15.75" customHeight="1">
      <c r="A141" s="8">
        <v>45072</v>
      </c>
      <c r="B141" s="9" t="s">
        <v>48</v>
      </c>
      <c r="C141" s="9" t="s">
        <v>81</v>
      </c>
      <c r="D141" s="9" t="s">
        <v>71</v>
      </c>
      <c r="E141" s="9" t="s">
        <v>88</v>
      </c>
      <c r="F141" s="9">
        <v>5</v>
      </c>
      <c r="G141" s="9">
        <v>349.29</v>
      </c>
      <c r="H141" s="9">
        <v>0.1</v>
      </c>
      <c r="I141" s="9">
        <v>1571.82</v>
      </c>
      <c r="J141" s="9">
        <v>4</v>
      </c>
      <c r="K141">
        <f t="shared" si="4"/>
        <v>1397.175</v>
      </c>
      <c r="L141" t="str">
        <f t="shared" si="5"/>
        <v>May</v>
      </c>
    </row>
    <row r="142" spans="1:12" ht="15.75" customHeight="1">
      <c r="A142" s="8">
        <v>45074</v>
      </c>
      <c r="B142" s="9" t="s">
        <v>56</v>
      </c>
      <c r="C142" s="9" t="s">
        <v>70</v>
      </c>
      <c r="D142" s="9" t="s">
        <v>71</v>
      </c>
      <c r="E142" s="9" t="s">
        <v>88</v>
      </c>
      <c r="F142" s="9">
        <v>2</v>
      </c>
      <c r="G142" s="9">
        <v>262.99</v>
      </c>
      <c r="H142" s="9">
        <v>0.2</v>
      </c>
      <c r="I142" s="9">
        <v>420.78</v>
      </c>
      <c r="J142" s="9">
        <v>3</v>
      </c>
      <c r="K142">
        <f t="shared" si="4"/>
        <v>315.58399999999995</v>
      </c>
      <c r="L142" t="str">
        <f t="shared" si="5"/>
        <v>May</v>
      </c>
    </row>
    <row r="143" spans="1:12" ht="15.75" customHeight="1">
      <c r="A143" s="8">
        <v>45075</v>
      </c>
      <c r="B143" s="9" t="s">
        <v>52</v>
      </c>
      <c r="C143" s="9" t="s">
        <v>73</v>
      </c>
      <c r="D143" s="9" t="s">
        <v>71</v>
      </c>
      <c r="E143" s="9" t="s">
        <v>88</v>
      </c>
      <c r="F143" s="9">
        <v>4</v>
      </c>
      <c r="G143" s="9">
        <v>291.98</v>
      </c>
      <c r="H143" s="9">
        <v>0.1</v>
      </c>
      <c r="I143" s="9">
        <v>1051.1400000000001</v>
      </c>
      <c r="J143" s="9">
        <v>4</v>
      </c>
      <c r="K143">
        <f t="shared" si="4"/>
        <v>934.34800000000007</v>
      </c>
      <c r="L143" t="str">
        <f t="shared" si="5"/>
        <v>May</v>
      </c>
    </row>
    <row r="144" spans="1:12" ht="15.75" customHeight="1">
      <c r="A144" s="8">
        <v>45075</v>
      </c>
      <c r="B144" s="9" t="s">
        <v>82</v>
      </c>
      <c r="C144" s="9" t="s">
        <v>87</v>
      </c>
      <c r="D144" s="9" t="s">
        <v>54</v>
      </c>
      <c r="E144" s="9" t="s">
        <v>55</v>
      </c>
      <c r="F144" s="9">
        <v>2</v>
      </c>
      <c r="G144" s="9">
        <v>256.31</v>
      </c>
      <c r="H144" s="9">
        <v>0.3</v>
      </c>
      <c r="I144" s="9">
        <v>358.84</v>
      </c>
      <c r="J144" s="9">
        <v>3</v>
      </c>
      <c r="K144">
        <f t="shared" si="4"/>
        <v>205.05399999999997</v>
      </c>
      <c r="L144" t="str">
        <f t="shared" si="5"/>
        <v>May</v>
      </c>
    </row>
    <row r="145" spans="1:12" ht="15.75" customHeight="1">
      <c r="A145" s="8">
        <v>45078</v>
      </c>
      <c r="B145" s="9" t="s">
        <v>48</v>
      </c>
      <c r="C145" s="9" t="s">
        <v>81</v>
      </c>
      <c r="D145" s="9" t="s">
        <v>58</v>
      </c>
      <c r="E145" s="9" t="s">
        <v>68</v>
      </c>
      <c r="F145" s="9">
        <v>2</v>
      </c>
      <c r="G145" s="9">
        <v>304.95</v>
      </c>
      <c r="H145" s="9">
        <v>0.2</v>
      </c>
      <c r="I145" s="9">
        <v>487.92</v>
      </c>
      <c r="J145" s="9">
        <v>4</v>
      </c>
      <c r="K145">
        <f t="shared" si="4"/>
        <v>365.94</v>
      </c>
      <c r="L145" t="str">
        <f t="shared" si="5"/>
        <v>Jun</v>
      </c>
    </row>
    <row r="146" spans="1:12" ht="15.75" customHeight="1">
      <c r="A146" s="8">
        <v>45079</v>
      </c>
      <c r="B146" s="9" t="s">
        <v>56</v>
      </c>
      <c r="C146" s="9" t="s">
        <v>74</v>
      </c>
      <c r="D146" s="9" t="s">
        <v>58</v>
      </c>
      <c r="E146" s="9" t="s">
        <v>68</v>
      </c>
      <c r="F146" s="9">
        <v>5</v>
      </c>
      <c r="G146" s="9">
        <v>454.17</v>
      </c>
      <c r="H146" s="9">
        <v>0.2</v>
      </c>
      <c r="I146" s="9">
        <v>1816.69</v>
      </c>
      <c r="J146" s="9">
        <v>4</v>
      </c>
      <c r="K146">
        <f t="shared" si="4"/>
        <v>1362.52</v>
      </c>
      <c r="L146" t="str">
        <f t="shared" si="5"/>
        <v>Jun</v>
      </c>
    </row>
    <row r="147" spans="1:12" ht="15.75" customHeight="1">
      <c r="A147" s="8">
        <v>45079</v>
      </c>
      <c r="B147" s="9" t="s">
        <v>48</v>
      </c>
      <c r="C147" s="9" t="s">
        <v>92</v>
      </c>
      <c r="D147" s="9" t="s">
        <v>71</v>
      </c>
      <c r="E147" s="9" t="s">
        <v>88</v>
      </c>
      <c r="F147" s="9">
        <v>5</v>
      </c>
      <c r="G147" s="9">
        <v>485.26</v>
      </c>
      <c r="H147" s="9">
        <v>0.25</v>
      </c>
      <c r="I147" s="9">
        <v>1819.71</v>
      </c>
      <c r="J147" s="9">
        <v>5</v>
      </c>
      <c r="K147">
        <f t="shared" si="4"/>
        <v>1213.135</v>
      </c>
      <c r="L147" t="str">
        <f t="shared" si="5"/>
        <v>Jun</v>
      </c>
    </row>
    <row r="148" spans="1:12" ht="15.75" customHeight="1">
      <c r="A148" s="8">
        <v>45081</v>
      </c>
      <c r="B148" s="9" t="s">
        <v>52</v>
      </c>
      <c r="C148" s="9" t="s">
        <v>80</v>
      </c>
      <c r="D148" s="9" t="s">
        <v>54</v>
      </c>
      <c r="E148" s="9" t="s">
        <v>63</v>
      </c>
      <c r="F148" s="9">
        <v>5</v>
      </c>
      <c r="G148" s="9">
        <v>310.57</v>
      </c>
      <c r="H148" s="9">
        <v>0.1</v>
      </c>
      <c r="I148" s="9">
        <v>1397.58</v>
      </c>
      <c r="J148" s="9">
        <v>4</v>
      </c>
      <c r="K148">
        <f t="shared" si="4"/>
        <v>1242.2949999999998</v>
      </c>
      <c r="L148" t="str">
        <f t="shared" si="5"/>
        <v>Jun</v>
      </c>
    </row>
    <row r="149" spans="1:12" ht="15.75" customHeight="1">
      <c r="A149" s="8">
        <v>45082</v>
      </c>
      <c r="B149" s="9" t="s">
        <v>66</v>
      </c>
      <c r="C149" s="9" t="s">
        <v>84</v>
      </c>
      <c r="D149" s="9" t="s">
        <v>58</v>
      </c>
      <c r="E149" s="9" t="s">
        <v>68</v>
      </c>
      <c r="F149" s="9">
        <v>1</v>
      </c>
      <c r="G149" s="9">
        <v>245.38</v>
      </c>
      <c r="H149" s="9">
        <v>0</v>
      </c>
      <c r="I149" s="9">
        <v>245.38</v>
      </c>
      <c r="J149" s="9">
        <v>4</v>
      </c>
      <c r="K149">
        <f t="shared" si="4"/>
        <v>245.38</v>
      </c>
      <c r="L149" t="str">
        <f t="shared" si="5"/>
        <v>Jun</v>
      </c>
    </row>
    <row r="150" spans="1:12" ht="15.75" customHeight="1">
      <c r="A150" s="8">
        <v>45084</v>
      </c>
      <c r="B150" s="9" t="s">
        <v>66</v>
      </c>
      <c r="C150" s="9" t="s">
        <v>84</v>
      </c>
      <c r="D150" s="9" t="s">
        <v>58</v>
      </c>
      <c r="E150" s="9" t="s">
        <v>68</v>
      </c>
      <c r="F150" s="9">
        <v>7</v>
      </c>
      <c r="G150" s="9">
        <v>294.47000000000003</v>
      </c>
      <c r="H150" s="9">
        <v>0.3</v>
      </c>
      <c r="I150" s="9">
        <v>1442.89</v>
      </c>
      <c r="J150" s="9">
        <v>4</v>
      </c>
      <c r="K150">
        <f t="shared" si="4"/>
        <v>824.50300000000016</v>
      </c>
      <c r="L150" t="str">
        <f t="shared" si="5"/>
        <v>Jun</v>
      </c>
    </row>
    <row r="151" spans="1:12" ht="15.75" customHeight="1">
      <c r="A151" s="8">
        <v>45086</v>
      </c>
      <c r="B151" s="9" t="s">
        <v>66</v>
      </c>
      <c r="C151" s="9" t="s">
        <v>67</v>
      </c>
      <c r="D151" s="9" t="s">
        <v>71</v>
      </c>
      <c r="E151" s="9" t="s">
        <v>76</v>
      </c>
      <c r="F151" s="9">
        <v>3</v>
      </c>
      <c r="G151" s="9">
        <v>100.42</v>
      </c>
      <c r="H151" s="9">
        <v>0.1</v>
      </c>
      <c r="I151" s="9">
        <v>271.12</v>
      </c>
      <c r="J151" s="9">
        <v>4</v>
      </c>
      <c r="K151">
        <f t="shared" si="4"/>
        <v>240.994</v>
      </c>
      <c r="L151" t="str">
        <f t="shared" si="5"/>
        <v>Jun</v>
      </c>
    </row>
    <row r="152" spans="1:12" ht="15.75" customHeight="1">
      <c r="A152" s="8">
        <v>45086</v>
      </c>
      <c r="B152" s="9" t="s">
        <v>66</v>
      </c>
      <c r="C152" s="9" t="s">
        <v>91</v>
      </c>
      <c r="D152" s="9" t="s">
        <v>58</v>
      </c>
      <c r="E152" s="9" t="s">
        <v>68</v>
      </c>
      <c r="F152" s="9">
        <v>8</v>
      </c>
      <c r="G152" s="9">
        <v>26.85</v>
      </c>
      <c r="H152" s="9">
        <v>0</v>
      </c>
      <c r="I152" s="9">
        <v>214.8</v>
      </c>
      <c r="J152" s="9">
        <v>4</v>
      </c>
      <c r="K152">
        <f t="shared" si="4"/>
        <v>214.8</v>
      </c>
      <c r="L152" t="str">
        <f t="shared" si="5"/>
        <v>Jun</v>
      </c>
    </row>
    <row r="153" spans="1:12" ht="15.75" customHeight="1">
      <c r="A153" s="8">
        <v>45090</v>
      </c>
      <c r="B153" s="9" t="s">
        <v>52</v>
      </c>
      <c r="C153" s="9" t="s">
        <v>93</v>
      </c>
      <c r="D153" s="9" t="s">
        <v>71</v>
      </c>
      <c r="E153" s="9" t="s">
        <v>72</v>
      </c>
      <c r="F153" s="9">
        <v>6</v>
      </c>
      <c r="G153" s="9">
        <v>307.95999999999998</v>
      </c>
      <c r="H153" s="9">
        <v>0.1</v>
      </c>
      <c r="I153" s="9">
        <v>1663</v>
      </c>
      <c r="J153" s="9">
        <v>5</v>
      </c>
      <c r="K153">
        <f t="shared" si="4"/>
        <v>1478.2239999999999</v>
      </c>
      <c r="L153" t="str">
        <f t="shared" si="5"/>
        <v>Jun</v>
      </c>
    </row>
    <row r="154" spans="1:12" ht="15.75" customHeight="1">
      <c r="A154" s="8">
        <v>45091</v>
      </c>
      <c r="B154" s="9" t="s">
        <v>52</v>
      </c>
      <c r="C154" s="9" t="s">
        <v>53</v>
      </c>
      <c r="D154" s="9" t="s">
        <v>71</v>
      </c>
      <c r="E154" s="9" t="s">
        <v>88</v>
      </c>
      <c r="F154" s="9">
        <v>9</v>
      </c>
      <c r="G154" s="9">
        <v>245.76</v>
      </c>
      <c r="H154" s="9">
        <v>0.2</v>
      </c>
      <c r="I154" s="9">
        <v>1769.48</v>
      </c>
      <c r="J154" s="9">
        <v>5</v>
      </c>
      <c r="K154">
        <f t="shared" si="4"/>
        <v>1327.1120000000001</v>
      </c>
      <c r="L154" t="str">
        <f t="shared" si="5"/>
        <v>Jun</v>
      </c>
    </row>
    <row r="155" spans="1:12" ht="15.75" customHeight="1">
      <c r="A155" s="8">
        <v>45091</v>
      </c>
      <c r="B155" s="9" t="s">
        <v>48</v>
      </c>
      <c r="C155" s="9" t="s">
        <v>61</v>
      </c>
      <c r="D155" s="9" t="s">
        <v>71</v>
      </c>
      <c r="E155" s="9" t="s">
        <v>72</v>
      </c>
      <c r="F155" s="9">
        <v>1</v>
      </c>
      <c r="G155" s="9">
        <v>145.66999999999999</v>
      </c>
      <c r="H155" s="9">
        <v>0</v>
      </c>
      <c r="I155" s="9">
        <v>145.66999999999999</v>
      </c>
      <c r="J155" s="9">
        <v>3</v>
      </c>
      <c r="K155">
        <f t="shared" si="4"/>
        <v>145.66999999999999</v>
      </c>
      <c r="L155" t="str">
        <f t="shared" si="5"/>
        <v>Jun</v>
      </c>
    </row>
    <row r="156" spans="1:12" ht="15.75" customHeight="1">
      <c r="A156" s="8">
        <v>45093</v>
      </c>
      <c r="B156" s="9" t="s">
        <v>66</v>
      </c>
      <c r="C156" s="9" t="s">
        <v>69</v>
      </c>
      <c r="D156" s="9" t="s">
        <v>71</v>
      </c>
      <c r="E156" s="9" t="s">
        <v>72</v>
      </c>
      <c r="F156" s="9">
        <v>9</v>
      </c>
      <c r="G156" s="9">
        <v>253.06</v>
      </c>
      <c r="H156" s="9">
        <v>0.1</v>
      </c>
      <c r="I156" s="9">
        <v>2049.77</v>
      </c>
      <c r="J156" s="9">
        <v>5</v>
      </c>
      <c r="K156">
        <f t="shared" si="4"/>
        <v>1822.0160000000001</v>
      </c>
      <c r="L156" t="str">
        <f t="shared" si="5"/>
        <v>Jun</v>
      </c>
    </row>
    <row r="157" spans="1:12" ht="15.75" customHeight="1">
      <c r="A157" s="8">
        <v>45093</v>
      </c>
      <c r="B157" s="9" t="s">
        <v>52</v>
      </c>
      <c r="C157" s="9" t="s">
        <v>93</v>
      </c>
      <c r="D157" s="9" t="s">
        <v>54</v>
      </c>
      <c r="E157" s="9" t="s">
        <v>55</v>
      </c>
      <c r="F157" s="9">
        <v>5</v>
      </c>
      <c r="G157" s="9">
        <v>290.42</v>
      </c>
      <c r="H157" s="9">
        <v>0.25</v>
      </c>
      <c r="I157" s="9">
        <v>1089.0899999999999</v>
      </c>
      <c r="J157" s="9">
        <v>3</v>
      </c>
      <c r="K157">
        <f t="shared" si="4"/>
        <v>726.06499999999983</v>
      </c>
      <c r="L157" t="str">
        <f t="shared" si="5"/>
        <v>Jun</v>
      </c>
    </row>
    <row r="158" spans="1:12" ht="15.75" customHeight="1">
      <c r="A158" s="8">
        <v>45095</v>
      </c>
      <c r="B158" s="9" t="s">
        <v>52</v>
      </c>
      <c r="C158" s="9" t="s">
        <v>75</v>
      </c>
      <c r="D158" s="9" t="s">
        <v>50</v>
      </c>
      <c r="E158" s="9" t="s">
        <v>78</v>
      </c>
      <c r="F158" s="9">
        <v>8</v>
      </c>
      <c r="G158" s="9">
        <v>254.14</v>
      </c>
      <c r="H158" s="9">
        <v>0.3</v>
      </c>
      <c r="I158" s="9">
        <v>1423.19</v>
      </c>
      <c r="J158" s="9">
        <v>3</v>
      </c>
      <c r="K158">
        <f t="shared" si="4"/>
        <v>813.25400000000013</v>
      </c>
      <c r="L158" t="str">
        <f t="shared" si="5"/>
        <v>Jun</v>
      </c>
    </row>
    <row r="159" spans="1:12" ht="15.75" customHeight="1">
      <c r="A159" s="8">
        <v>45098</v>
      </c>
      <c r="B159" s="9" t="s">
        <v>48</v>
      </c>
      <c r="C159" s="9" t="s">
        <v>61</v>
      </c>
      <c r="D159" s="9" t="s">
        <v>54</v>
      </c>
      <c r="E159" s="9" t="s">
        <v>55</v>
      </c>
      <c r="F159" s="9">
        <v>1</v>
      </c>
      <c r="G159" s="9">
        <v>60.43</v>
      </c>
      <c r="H159" s="9">
        <v>0.3</v>
      </c>
      <c r="I159" s="9">
        <v>42.3</v>
      </c>
      <c r="J159" s="9">
        <v>4</v>
      </c>
      <c r="K159">
        <f t="shared" si="4"/>
        <v>24.170999999999999</v>
      </c>
      <c r="L159" t="str">
        <f t="shared" si="5"/>
        <v>Jun</v>
      </c>
    </row>
    <row r="160" spans="1:12" ht="15.75" customHeight="1">
      <c r="A160" s="8">
        <v>45099</v>
      </c>
      <c r="B160" s="9" t="s">
        <v>66</v>
      </c>
      <c r="C160" s="9" t="s">
        <v>84</v>
      </c>
      <c r="D160" s="9" t="s">
        <v>58</v>
      </c>
      <c r="E160" s="9" t="s">
        <v>59</v>
      </c>
      <c r="F160" s="9">
        <v>10</v>
      </c>
      <c r="G160" s="9">
        <v>27.97</v>
      </c>
      <c r="H160" s="9">
        <v>0.2</v>
      </c>
      <c r="I160" s="9">
        <v>223.8</v>
      </c>
      <c r="J160" s="9">
        <v>4</v>
      </c>
      <c r="K160">
        <f t="shared" si="4"/>
        <v>167.86</v>
      </c>
      <c r="L160" t="str">
        <f t="shared" si="5"/>
        <v>Jun</v>
      </c>
    </row>
    <row r="161" spans="1:12" ht="15.75" customHeight="1">
      <c r="A161" s="8">
        <v>45101</v>
      </c>
      <c r="B161" s="9" t="s">
        <v>56</v>
      </c>
      <c r="C161" s="9" t="s">
        <v>79</v>
      </c>
      <c r="D161" s="9" t="s">
        <v>71</v>
      </c>
      <c r="E161" s="9" t="s">
        <v>72</v>
      </c>
      <c r="F161" s="9">
        <v>4</v>
      </c>
      <c r="G161" s="9">
        <v>167.11</v>
      </c>
      <c r="H161" s="9">
        <v>0.2</v>
      </c>
      <c r="I161" s="9">
        <v>534.77</v>
      </c>
      <c r="J161" s="9">
        <v>3</v>
      </c>
      <c r="K161">
        <f t="shared" si="4"/>
        <v>401.08199999999999</v>
      </c>
      <c r="L161" t="str">
        <f t="shared" si="5"/>
        <v>Jun</v>
      </c>
    </row>
    <row r="162" spans="1:12" ht="15.75" customHeight="1">
      <c r="A162" s="8">
        <v>45101</v>
      </c>
      <c r="B162" s="9" t="s">
        <v>66</v>
      </c>
      <c r="C162" s="9" t="s">
        <v>67</v>
      </c>
      <c r="D162" s="9" t="s">
        <v>58</v>
      </c>
      <c r="E162" s="9" t="s">
        <v>68</v>
      </c>
      <c r="F162" s="9">
        <v>6</v>
      </c>
      <c r="G162" s="9">
        <v>230.95</v>
      </c>
      <c r="H162" s="9">
        <v>0.25</v>
      </c>
      <c r="I162" s="9">
        <v>1039.26</v>
      </c>
      <c r="J162" s="9">
        <v>5</v>
      </c>
      <c r="K162">
        <f t="shared" si="4"/>
        <v>692.83500000000004</v>
      </c>
      <c r="L162" t="str">
        <f t="shared" si="5"/>
        <v>Jun</v>
      </c>
    </row>
    <row r="163" spans="1:12" ht="15.75" customHeight="1">
      <c r="A163" s="8">
        <v>45101</v>
      </c>
      <c r="B163" s="9" t="s">
        <v>82</v>
      </c>
      <c r="C163" s="9" t="s">
        <v>89</v>
      </c>
      <c r="D163" s="9" t="s">
        <v>71</v>
      </c>
      <c r="E163" s="9" t="s">
        <v>72</v>
      </c>
      <c r="F163" s="9">
        <v>7</v>
      </c>
      <c r="G163" s="9">
        <v>461.21</v>
      </c>
      <c r="H163" s="9">
        <v>0.2</v>
      </c>
      <c r="I163" s="9">
        <v>2582.79</v>
      </c>
      <c r="J163" s="9">
        <v>5</v>
      </c>
      <c r="K163">
        <f t="shared" si="4"/>
        <v>1937.096</v>
      </c>
      <c r="L163" t="str">
        <f t="shared" si="5"/>
        <v>Jun</v>
      </c>
    </row>
    <row r="164" spans="1:12" ht="15.75" customHeight="1">
      <c r="A164" s="8">
        <v>45102</v>
      </c>
      <c r="B164" s="9" t="s">
        <v>48</v>
      </c>
      <c r="C164" s="9" t="s">
        <v>92</v>
      </c>
      <c r="D164" s="9" t="s">
        <v>71</v>
      </c>
      <c r="E164" s="9" t="s">
        <v>76</v>
      </c>
      <c r="F164" s="9">
        <v>1</v>
      </c>
      <c r="G164" s="9">
        <v>41.8</v>
      </c>
      <c r="H164" s="9">
        <v>0.1</v>
      </c>
      <c r="I164" s="9">
        <v>37.619999999999997</v>
      </c>
      <c r="J164" s="9">
        <v>4</v>
      </c>
      <c r="K164">
        <f t="shared" si="4"/>
        <v>33.44</v>
      </c>
      <c r="L164" t="str">
        <f t="shared" si="5"/>
        <v>Jun</v>
      </c>
    </row>
    <row r="165" spans="1:12" ht="15.75" customHeight="1">
      <c r="A165" s="8">
        <v>45102</v>
      </c>
      <c r="B165" s="9" t="s">
        <v>56</v>
      </c>
      <c r="C165" s="9" t="s">
        <v>57</v>
      </c>
      <c r="D165" s="9" t="s">
        <v>58</v>
      </c>
      <c r="E165" s="9" t="s">
        <v>62</v>
      </c>
      <c r="F165" s="9">
        <v>5</v>
      </c>
      <c r="G165" s="9">
        <v>132.15</v>
      </c>
      <c r="H165" s="9">
        <v>0.3</v>
      </c>
      <c r="I165" s="9">
        <v>462.54</v>
      </c>
      <c r="J165" s="9">
        <v>4</v>
      </c>
      <c r="K165">
        <f t="shared" si="4"/>
        <v>264.31500000000005</v>
      </c>
      <c r="L165" t="str">
        <f t="shared" si="5"/>
        <v>Jun</v>
      </c>
    </row>
    <row r="166" spans="1:12" ht="15.75" customHeight="1">
      <c r="A166" s="8">
        <v>45103</v>
      </c>
      <c r="B166" s="9" t="s">
        <v>66</v>
      </c>
      <c r="C166" s="9" t="s">
        <v>67</v>
      </c>
      <c r="D166" s="9" t="s">
        <v>54</v>
      </c>
      <c r="E166" s="9" t="s">
        <v>86</v>
      </c>
      <c r="F166" s="9">
        <v>1</v>
      </c>
      <c r="G166" s="9">
        <v>127.39</v>
      </c>
      <c r="H166" s="9">
        <v>0.1</v>
      </c>
      <c r="I166" s="9">
        <v>114.65</v>
      </c>
      <c r="J166" s="9">
        <v>5</v>
      </c>
      <c r="K166">
        <f t="shared" si="4"/>
        <v>101.911</v>
      </c>
      <c r="L166" t="str">
        <f t="shared" si="5"/>
        <v>Jun</v>
      </c>
    </row>
    <row r="167" spans="1:12" ht="15.75" customHeight="1">
      <c r="A167" s="8">
        <v>45104</v>
      </c>
      <c r="B167" s="9" t="s">
        <v>66</v>
      </c>
      <c r="C167" s="9" t="s">
        <v>69</v>
      </c>
      <c r="D167" s="9" t="s">
        <v>71</v>
      </c>
      <c r="E167" s="9" t="s">
        <v>72</v>
      </c>
      <c r="F167" s="9">
        <v>1</v>
      </c>
      <c r="G167" s="9">
        <v>498.89</v>
      </c>
      <c r="H167" s="9">
        <v>0.2</v>
      </c>
      <c r="I167" s="9">
        <v>399.11</v>
      </c>
      <c r="J167" s="9">
        <v>3</v>
      </c>
      <c r="K167">
        <f t="shared" si="4"/>
        <v>299.33199999999999</v>
      </c>
      <c r="L167" t="str">
        <f t="shared" si="5"/>
        <v>Jun</v>
      </c>
    </row>
    <row r="168" spans="1:12" ht="15.75" customHeight="1">
      <c r="A168" s="8">
        <v>45104</v>
      </c>
      <c r="B168" s="9" t="s">
        <v>52</v>
      </c>
      <c r="C168" s="9" t="s">
        <v>75</v>
      </c>
      <c r="D168" s="9" t="s">
        <v>58</v>
      </c>
      <c r="E168" s="9" t="s">
        <v>62</v>
      </c>
      <c r="F168" s="9">
        <v>5</v>
      </c>
      <c r="G168" s="9">
        <v>464.88</v>
      </c>
      <c r="H168" s="9">
        <v>0</v>
      </c>
      <c r="I168" s="9">
        <v>2324.38</v>
      </c>
      <c r="J168" s="9">
        <v>5</v>
      </c>
      <c r="K168">
        <f t="shared" si="4"/>
        <v>2324.38</v>
      </c>
      <c r="L168" t="str">
        <f t="shared" si="5"/>
        <v>Jun</v>
      </c>
    </row>
    <row r="169" spans="1:12" ht="15.75" customHeight="1">
      <c r="A169" s="8">
        <v>45105</v>
      </c>
      <c r="B169" s="9" t="s">
        <v>82</v>
      </c>
      <c r="C169" s="9" t="s">
        <v>87</v>
      </c>
      <c r="D169" s="9" t="s">
        <v>50</v>
      </c>
      <c r="E169" s="9" t="s">
        <v>78</v>
      </c>
      <c r="F169" s="9">
        <v>6</v>
      </c>
      <c r="G169" s="9">
        <v>229.73</v>
      </c>
      <c r="H169" s="9">
        <v>0.3</v>
      </c>
      <c r="I169" s="9">
        <v>964.86</v>
      </c>
      <c r="J169" s="9">
        <v>3</v>
      </c>
      <c r="K169">
        <f t="shared" si="4"/>
        <v>551.346</v>
      </c>
      <c r="L169" t="str">
        <f t="shared" si="5"/>
        <v>Jun</v>
      </c>
    </row>
    <row r="170" spans="1:12" ht="15.75" customHeight="1">
      <c r="A170" s="8">
        <v>45105</v>
      </c>
      <c r="B170" s="9" t="s">
        <v>82</v>
      </c>
      <c r="C170" s="9" t="s">
        <v>90</v>
      </c>
      <c r="D170" s="9" t="s">
        <v>58</v>
      </c>
      <c r="E170" s="9" t="s">
        <v>68</v>
      </c>
      <c r="F170" s="9">
        <v>3</v>
      </c>
      <c r="G170" s="9">
        <v>68.599999999999994</v>
      </c>
      <c r="H170" s="9">
        <v>0.2</v>
      </c>
      <c r="I170" s="9">
        <v>164.64</v>
      </c>
      <c r="J170" s="9">
        <v>3</v>
      </c>
      <c r="K170">
        <f t="shared" si="4"/>
        <v>123.47999999999999</v>
      </c>
      <c r="L170" t="str">
        <f t="shared" si="5"/>
        <v>Jun</v>
      </c>
    </row>
    <row r="171" spans="1:12" ht="15.75" customHeight="1">
      <c r="A171" s="8">
        <v>45105</v>
      </c>
      <c r="B171" s="9" t="s">
        <v>82</v>
      </c>
      <c r="C171" s="9" t="s">
        <v>87</v>
      </c>
      <c r="D171" s="9" t="s">
        <v>71</v>
      </c>
      <c r="E171" s="9" t="s">
        <v>72</v>
      </c>
      <c r="F171" s="9">
        <v>8</v>
      </c>
      <c r="G171" s="9">
        <v>351.51</v>
      </c>
      <c r="H171" s="9">
        <v>0.1</v>
      </c>
      <c r="I171" s="9">
        <v>2530.88</v>
      </c>
      <c r="J171" s="9">
        <v>4</v>
      </c>
      <c r="K171">
        <f t="shared" si="4"/>
        <v>2249.672</v>
      </c>
      <c r="L171" t="str">
        <f t="shared" si="5"/>
        <v>Jun</v>
      </c>
    </row>
    <row r="172" spans="1:12" ht="15.75" customHeight="1">
      <c r="A172" s="8">
        <v>45105</v>
      </c>
      <c r="B172" s="9" t="s">
        <v>48</v>
      </c>
      <c r="C172" s="9" t="s">
        <v>60</v>
      </c>
      <c r="D172" s="9" t="s">
        <v>58</v>
      </c>
      <c r="E172" s="9" t="s">
        <v>59</v>
      </c>
      <c r="F172" s="9">
        <v>3</v>
      </c>
      <c r="G172" s="9">
        <v>212.18</v>
      </c>
      <c r="H172" s="9">
        <v>0.1</v>
      </c>
      <c r="I172" s="9">
        <v>572.89</v>
      </c>
      <c r="J172" s="9">
        <v>3</v>
      </c>
      <c r="K172">
        <f t="shared" si="4"/>
        <v>509.23599999999999</v>
      </c>
      <c r="L172" t="str">
        <f t="shared" si="5"/>
        <v>Jun</v>
      </c>
    </row>
    <row r="173" spans="1:12" ht="15.75" customHeight="1">
      <c r="A173" s="8">
        <v>45106</v>
      </c>
      <c r="B173" s="9" t="s">
        <v>48</v>
      </c>
      <c r="C173" s="9" t="s">
        <v>61</v>
      </c>
      <c r="D173" s="9" t="s">
        <v>50</v>
      </c>
      <c r="E173" s="9" t="s">
        <v>51</v>
      </c>
      <c r="F173" s="9">
        <v>2</v>
      </c>
      <c r="G173" s="9">
        <v>168.05</v>
      </c>
      <c r="H173" s="9">
        <v>0</v>
      </c>
      <c r="I173" s="9">
        <v>336.1</v>
      </c>
      <c r="J173" s="9">
        <v>3</v>
      </c>
      <c r="K173">
        <f t="shared" si="4"/>
        <v>336.1</v>
      </c>
      <c r="L173" t="str">
        <f t="shared" si="5"/>
        <v>Jun</v>
      </c>
    </row>
    <row r="174" spans="1:12" ht="15.75" customHeight="1">
      <c r="A174" s="8">
        <v>45106</v>
      </c>
      <c r="B174" s="9" t="s">
        <v>48</v>
      </c>
      <c r="C174" s="9" t="s">
        <v>81</v>
      </c>
      <c r="D174" s="9" t="s">
        <v>54</v>
      </c>
      <c r="E174" s="9" t="s">
        <v>86</v>
      </c>
      <c r="F174" s="9">
        <v>3</v>
      </c>
      <c r="G174" s="9">
        <v>197.41</v>
      </c>
      <c r="H174" s="9">
        <v>0.25</v>
      </c>
      <c r="I174" s="9">
        <v>444.16</v>
      </c>
      <c r="J174" s="9">
        <v>3</v>
      </c>
      <c r="K174">
        <f t="shared" si="4"/>
        <v>296.10250000000002</v>
      </c>
      <c r="L174" t="str">
        <f t="shared" si="5"/>
        <v>Jun</v>
      </c>
    </row>
    <row r="175" spans="1:12" ht="15.75" customHeight="1">
      <c r="A175" s="8">
        <v>45106</v>
      </c>
      <c r="B175" s="9" t="s">
        <v>48</v>
      </c>
      <c r="C175" s="9" t="s">
        <v>60</v>
      </c>
      <c r="D175" s="9" t="s">
        <v>54</v>
      </c>
      <c r="E175" s="9" t="s">
        <v>55</v>
      </c>
      <c r="F175" s="9">
        <v>6</v>
      </c>
      <c r="G175" s="9">
        <v>206.42</v>
      </c>
      <c r="H175" s="9">
        <v>0.1</v>
      </c>
      <c r="I175" s="9">
        <v>1114.6500000000001</v>
      </c>
      <c r="J175" s="9">
        <v>5</v>
      </c>
      <c r="K175">
        <f t="shared" si="4"/>
        <v>990.79800000000012</v>
      </c>
      <c r="L175" t="str">
        <f t="shared" si="5"/>
        <v>Jun</v>
      </c>
    </row>
    <row r="176" spans="1:12" ht="15.75" customHeight="1">
      <c r="A176" s="8">
        <v>45107</v>
      </c>
      <c r="B176" s="9" t="s">
        <v>56</v>
      </c>
      <c r="C176" s="9" t="s">
        <v>79</v>
      </c>
      <c r="D176" s="9" t="s">
        <v>50</v>
      </c>
      <c r="E176" s="9" t="s">
        <v>78</v>
      </c>
      <c r="F176" s="9">
        <v>1</v>
      </c>
      <c r="G176" s="9">
        <v>41.14</v>
      </c>
      <c r="H176" s="9">
        <v>0.3</v>
      </c>
      <c r="I176" s="9">
        <v>28.8</v>
      </c>
      <c r="J176" s="9">
        <v>4</v>
      </c>
      <c r="K176">
        <f t="shared" si="4"/>
        <v>16.457999999999998</v>
      </c>
      <c r="L176" t="str">
        <f t="shared" si="5"/>
        <v>Jun</v>
      </c>
    </row>
    <row r="177" spans="1:12" ht="15.75" customHeight="1">
      <c r="A177" s="8">
        <v>45107</v>
      </c>
      <c r="B177" s="9" t="s">
        <v>66</v>
      </c>
      <c r="C177" s="9" t="s">
        <v>84</v>
      </c>
      <c r="D177" s="9" t="s">
        <v>54</v>
      </c>
      <c r="E177" s="9" t="s">
        <v>55</v>
      </c>
      <c r="F177" s="9">
        <v>1</v>
      </c>
      <c r="G177" s="9">
        <v>317.5</v>
      </c>
      <c r="H177" s="9">
        <v>0.2</v>
      </c>
      <c r="I177" s="9">
        <v>254</v>
      </c>
      <c r="J177" s="9">
        <v>3</v>
      </c>
      <c r="K177">
        <f t="shared" si="4"/>
        <v>190.5</v>
      </c>
      <c r="L177" t="str">
        <f t="shared" si="5"/>
        <v>Jun</v>
      </c>
    </row>
    <row r="178" spans="1:12" ht="15.75" customHeight="1">
      <c r="A178" s="8">
        <v>45109</v>
      </c>
      <c r="B178" s="9" t="s">
        <v>66</v>
      </c>
      <c r="C178" s="9" t="s">
        <v>67</v>
      </c>
      <c r="D178" s="9" t="s">
        <v>50</v>
      </c>
      <c r="E178" s="9" t="s">
        <v>65</v>
      </c>
      <c r="F178" s="9">
        <v>3</v>
      </c>
      <c r="G178" s="9">
        <v>322.33999999999997</v>
      </c>
      <c r="H178" s="9">
        <v>0.25</v>
      </c>
      <c r="I178" s="9">
        <v>725.27</v>
      </c>
      <c r="J178" s="9">
        <v>5</v>
      </c>
      <c r="K178">
        <f t="shared" si="4"/>
        <v>483.51499999999999</v>
      </c>
      <c r="L178" t="str">
        <f t="shared" si="5"/>
        <v>Jul</v>
      </c>
    </row>
    <row r="179" spans="1:12" ht="15.75" customHeight="1">
      <c r="A179" s="8">
        <v>45113</v>
      </c>
      <c r="B179" s="9" t="s">
        <v>48</v>
      </c>
      <c r="C179" s="9" t="s">
        <v>61</v>
      </c>
      <c r="D179" s="9" t="s">
        <v>54</v>
      </c>
      <c r="E179" s="9" t="s">
        <v>55</v>
      </c>
      <c r="F179" s="9">
        <v>1</v>
      </c>
      <c r="G179" s="9">
        <v>234.54</v>
      </c>
      <c r="H179" s="9">
        <v>0.2</v>
      </c>
      <c r="I179" s="9">
        <v>187.64</v>
      </c>
      <c r="J179" s="9">
        <v>4</v>
      </c>
      <c r="K179">
        <f t="shared" si="4"/>
        <v>140.73199999999997</v>
      </c>
      <c r="L179" t="str">
        <f t="shared" si="5"/>
        <v>Jul</v>
      </c>
    </row>
    <row r="180" spans="1:12" ht="15.75" customHeight="1">
      <c r="A180" s="8">
        <v>45114</v>
      </c>
      <c r="B180" s="9" t="s">
        <v>66</v>
      </c>
      <c r="C180" s="9" t="s">
        <v>84</v>
      </c>
      <c r="D180" s="9" t="s">
        <v>50</v>
      </c>
      <c r="E180" s="9" t="s">
        <v>51</v>
      </c>
      <c r="F180" s="9">
        <v>4</v>
      </c>
      <c r="G180" s="9">
        <v>401.16</v>
      </c>
      <c r="H180" s="9">
        <v>0</v>
      </c>
      <c r="I180" s="9">
        <v>1604.66</v>
      </c>
      <c r="J180" s="9">
        <v>5</v>
      </c>
      <c r="K180">
        <f t="shared" si="4"/>
        <v>1604.66</v>
      </c>
      <c r="L180" t="str">
        <f t="shared" si="5"/>
        <v>Jul</v>
      </c>
    </row>
    <row r="181" spans="1:12" ht="15.75" customHeight="1">
      <c r="A181" s="8">
        <v>45115</v>
      </c>
      <c r="B181" s="9" t="s">
        <v>56</v>
      </c>
      <c r="C181" s="9" t="s">
        <v>64</v>
      </c>
      <c r="D181" s="9" t="s">
        <v>50</v>
      </c>
      <c r="E181" s="9" t="s">
        <v>51</v>
      </c>
      <c r="F181" s="9">
        <v>5</v>
      </c>
      <c r="G181" s="9">
        <v>92.78</v>
      </c>
      <c r="H181" s="9">
        <v>0.25</v>
      </c>
      <c r="I181" s="9">
        <v>347.92</v>
      </c>
      <c r="J181" s="9">
        <v>4</v>
      </c>
      <c r="K181">
        <f t="shared" si="4"/>
        <v>231.94500000000002</v>
      </c>
      <c r="L181" t="str">
        <f t="shared" si="5"/>
        <v>Jul</v>
      </c>
    </row>
    <row r="182" spans="1:12" ht="15.75" customHeight="1">
      <c r="A182" s="8">
        <v>45116</v>
      </c>
      <c r="B182" s="9" t="s">
        <v>66</v>
      </c>
      <c r="C182" s="9" t="s">
        <v>91</v>
      </c>
      <c r="D182" s="9" t="s">
        <v>71</v>
      </c>
      <c r="E182" s="9" t="s">
        <v>76</v>
      </c>
      <c r="F182" s="9">
        <v>3</v>
      </c>
      <c r="G182" s="9">
        <v>305.2</v>
      </c>
      <c r="H182" s="9">
        <v>0.25</v>
      </c>
      <c r="I182" s="9">
        <v>686.69</v>
      </c>
      <c r="J182" s="9">
        <v>4</v>
      </c>
      <c r="K182">
        <f t="shared" si="4"/>
        <v>457.79000000000008</v>
      </c>
      <c r="L182" t="str">
        <f t="shared" si="5"/>
        <v>Jul</v>
      </c>
    </row>
    <row r="183" spans="1:12" ht="15.75" customHeight="1">
      <c r="A183" s="8">
        <v>45117</v>
      </c>
      <c r="B183" s="9" t="s">
        <v>66</v>
      </c>
      <c r="C183" s="9" t="s">
        <v>67</v>
      </c>
      <c r="D183" s="9" t="s">
        <v>54</v>
      </c>
      <c r="E183" s="9" t="s">
        <v>63</v>
      </c>
      <c r="F183" s="9">
        <v>5</v>
      </c>
      <c r="G183" s="9">
        <v>492.57</v>
      </c>
      <c r="H183" s="9">
        <v>0.25</v>
      </c>
      <c r="I183" s="9">
        <v>1847.15</v>
      </c>
      <c r="J183" s="9">
        <v>5</v>
      </c>
      <c r="K183">
        <f t="shared" si="4"/>
        <v>1231.4375</v>
      </c>
      <c r="L183" t="str">
        <f t="shared" si="5"/>
        <v>Jul</v>
      </c>
    </row>
    <row r="184" spans="1:12" ht="15.75" customHeight="1">
      <c r="A184" s="8">
        <v>45117</v>
      </c>
      <c r="B184" s="9" t="s">
        <v>66</v>
      </c>
      <c r="C184" s="9" t="s">
        <v>84</v>
      </c>
      <c r="D184" s="9" t="s">
        <v>54</v>
      </c>
      <c r="E184" s="9" t="s">
        <v>86</v>
      </c>
      <c r="F184" s="9">
        <v>5</v>
      </c>
      <c r="G184" s="9">
        <v>252.27</v>
      </c>
      <c r="H184" s="9">
        <v>0.1</v>
      </c>
      <c r="I184" s="9">
        <v>1135.2</v>
      </c>
      <c r="J184" s="9">
        <v>5</v>
      </c>
      <c r="K184">
        <f t="shared" si="4"/>
        <v>1009.0650000000001</v>
      </c>
      <c r="L184" t="str">
        <f t="shared" si="5"/>
        <v>Jul</v>
      </c>
    </row>
    <row r="185" spans="1:12" ht="15.75" customHeight="1">
      <c r="A185" s="8">
        <v>45118</v>
      </c>
      <c r="B185" s="9" t="s">
        <v>52</v>
      </c>
      <c r="C185" s="9" t="s">
        <v>80</v>
      </c>
      <c r="D185" s="9" t="s">
        <v>50</v>
      </c>
      <c r="E185" s="9" t="s">
        <v>51</v>
      </c>
      <c r="F185" s="9">
        <v>10</v>
      </c>
      <c r="G185" s="9">
        <v>475.7</v>
      </c>
      <c r="H185" s="9">
        <v>0.25</v>
      </c>
      <c r="I185" s="9">
        <v>3567.76</v>
      </c>
      <c r="J185" s="9">
        <v>4</v>
      </c>
      <c r="K185">
        <f t="shared" si="4"/>
        <v>2378.5100000000002</v>
      </c>
      <c r="L185" t="str">
        <f t="shared" si="5"/>
        <v>Jul</v>
      </c>
    </row>
    <row r="186" spans="1:12" ht="15.75" customHeight="1">
      <c r="A186" s="8">
        <v>45119</v>
      </c>
      <c r="B186" s="9" t="s">
        <v>82</v>
      </c>
      <c r="C186" s="9" t="s">
        <v>87</v>
      </c>
      <c r="D186" s="9" t="s">
        <v>50</v>
      </c>
      <c r="E186" s="9" t="s">
        <v>65</v>
      </c>
      <c r="F186" s="9">
        <v>5</v>
      </c>
      <c r="G186" s="9">
        <v>378.66</v>
      </c>
      <c r="H186" s="9">
        <v>0</v>
      </c>
      <c r="I186" s="9">
        <v>1893.32</v>
      </c>
      <c r="J186" s="9">
        <v>5</v>
      </c>
      <c r="K186">
        <f t="shared" si="4"/>
        <v>1893.32</v>
      </c>
      <c r="L186" t="str">
        <f t="shared" si="5"/>
        <v>Jul</v>
      </c>
    </row>
    <row r="187" spans="1:12" ht="15.75" customHeight="1">
      <c r="A187" s="8">
        <v>45122</v>
      </c>
      <c r="B187" s="9" t="s">
        <v>82</v>
      </c>
      <c r="C187" s="9" t="s">
        <v>90</v>
      </c>
      <c r="D187" s="9" t="s">
        <v>50</v>
      </c>
      <c r="E187" s="9" t="s">
        <v>51</v>
      </c>
      <c r="F187" s="9">
        <v>4</v>
      </c>
      <c r="G187" s="9">
        <v>193.56</v>
      </c>
      <c r="H187" s="9">
        <v>0.1</v>
      </c>
      <c r="I187" s="9">
        <v>696.82</v>
      </c>
      <c r="J187" s="9">
        <v>4</v>
      </c>
      <c r="K187">
        <f t="shared" si="4"/>
        <v>619.39600000000007</v>
      </c>
      <c r="L187" t="str">
        <f t="shared" si="5"/>
        <v>Jul</v>
      </c>
    </row>
    <row r="188" spans="1:12" ht="15.75" customHeight="1">
      <c r="A188" s="8">
        <v>45125</v>
      </c>
      <c r="B188" s="9" t="s">
        <v>56</v>
      </c>
      <c r="C188" s="9" t="s">
        <v>57</v>
      </c>
      <c r="D188" s="9" t="s">
        <v>50</v>
      </c>
      <c r="E188" s="9" t="s">
        <v>65</v>
      </c>
      <c r="F188" s="9">
        <v>4</v>
      </c>
      <c r="G188" s="9">
        <v>154.28</v>
      </c>
      <c r="H188" s="9">
        <v>0.3</v>
      </c>
      <c r="I188" s="9">
        <v>431.98</v>
      </c>
      <c r="J188" s="9">
        <v>3</v>
      </c>
      <c r="K188">
        <f t="shared" si="4"/>
        <v>246.84400000000002</v>
      </c>
      <c r="L188" t="str">
        <f t="shared" si="5"/>
        <v>Jul</v>
      </c>
    </row>
    <row r="189" spans="1:12" ht="15.75" customHeight="1">
      <c r="A189" s="8">
        <v>45126</v>
      </c>
      <c r="B189" s="9" t="s">
        <v>56</v>
      </c>
      <c r="C189" s="9" t="s">
        <v>74</v>
      </c>
      <c r="D189" s="9" t="s">
        <v>71</v>
      </c>
      <c r="E189" s="9" t="s">
        <v>88</v>
      </c>
      <c r="F189" s="9">
        <v>3</v>
      </c>
      <c r="G189" s="9">
        <v>192.42</v>
      </c>
      <c r="H189" s="9">
        <v>0</v>
      </c>
      <c r="I189" s="9">
        <v>577.26</v>
      </c>
      <c r="J189" s="9">
        <v>4</v>
      </c>
      <c r="K189">
        <f t="shared" si="4"/>
        <v>577.26</v>
      </c>
      <c r="L189" t="str">
        <f t="shared" si="5"/>
        <v>Jul</v>
      </c>
    </row>
    <row r="190" spans="1:12" ht="15.75" customHeight="1">
      <c r="A190" s="8">
        <v>45126</v>
      </c>
      <c r="B190" s="9" t="s">
        <v>82</v>
      </c>
      <c r="C190" s="9" t="s">
        <v>89</v>
      </c>
      <c r="D190" s="9" t="s">
        <v>54</v>
      </c>
      <c r="E190" s="9" t="s">
        <v>86</v>
      </c>
      <c r="F190" s="9">
        <v>2</v>
      </c>
      <c r="G190" s="9">
        <v>229.23</v>
      </c>
      <c r="H190" s="9">
        <v>0.2</v>
      </c>
      <c r="I190" s="9">
        <v>366.77</v>
      </c>
      <c r="J190" s="9">
        <v>4</v>
      </c>
      <c r="K190">
        <f t="shared" si="4"/>
        <v>275.07799999999997</v>
      </c>
      <c r="L190" t="str">
        <f t="shared" si="5"/>
        <v>Jul</v>
      </c>
    </row>
    <row r="191" spans="1:12" ht="15.75" customHeight="1">
      <c r="A191" s="8">
        <v>45127</v>
      </c>
      <c r="B191" s="9" t="s">
        <v>56</v>
      </c>
      <c r="C191" s="9" t="s">
        <v>79</v>
      </c>
      <c r="D191" s="9" t="s">
        <v>71</v>
      </c>
      <c r="E191" s="9" t="s">
        <v>72</v>
      </c>
      <c r="F191" s="9">
        <v>8</v>
      </c>
      <c r="G191" s="9">
        <v>144.61000000000001</v>
      </c>
      <c r="H191" s="9">
        <v>0.2</v>
      </c>
      <c r="I191" s="9">
        <v>925.53</v>
      </c>
      <c r="J191" s="9">
        <v>3</v>
      </c>
      <c r="K191">
        <f t="shared" si="4"/>
        <v>694.154</v>
      </c>
      <c r="L191" t="str">
        <f t="shared" si="5"/>
        <v>Jul</v>
      </c>
    </row>
    <row r="192" spans="1:12" ht="15.75" customHeight="1">
      <c r="A192" s="8">
        <v>45129</v>
      </c>
      <c r="B192" s="9" t="s">
        <v>56</v>
      </c>
      <c r="C192" s="9" t="s">
        <v>74</v>
      </c>
      <c r="D192" s="9" t="s">
        <v>54</v>
      </c>
      <c r="E192" s="9" t="s">
        <v>63</v>
      </c>
      <c r="F192" s="9">
        <v>9</v>
      </c>
      <c r="G192" s="9">
        <v>112.45</v>
      </c>
      <c r="H192" s="9">
        <v>0.1</v>
      </c>
      <c r="I192" s="9">
        <v>910.81</v>
      </c>
      <c r="J192" s="9">
        <v>4</v>
      </c>
      <c r="K192">
        <f t="shared" si="4"/>
        <v>809.6049999999999</v>
      </c>
      <c r="L192" t="str">
        <f t="shared" si="5"/>
        <v>Jul</v>
      </c>
    </row>
    <row r="193" spans="1:12" ht="15.75" customHeight="1">
      <c r="A193" s="8">
        <v>45129</v>
      </c>
      <c r="B193" s="9" t="s">
        <v>56</v>
      </c>
      <c r="C193" s="9" t="s">
        <v>74</v>
      </c>
      <c r="D193" s="9" t="s">
        <v>50</v>
      </c>
      <c r="E193" s="9" t="s">
        <v>65</v>
      </c>
      <c r="F193" s="9">
        <v>6</v>
      </c>
      <c r="G193" s="9">
        <v>139.94999999999999</v>
      </c>
      <c r="H193" s="9">
        <v>0.3</v>
      </c>
      <c r="I193" s="9">
        <v>587.79</v>
      </c>
      <c r="J193" s="9">
        <v>4</v>
      </c>
      <c r="K193">
        <f t="shared" si="4"/>
        <v>335.88</v>
      </c>
      <c r="L193" t="str">
        <f t="shared" si="5"/>
        <v>Jul</v>
      </c>
    </row>
    <row r="194" spans="1:12" ht="15.75" customHeight="1">
      <c r="A194" s="8">
        <v>45129</v>
      </c>
      <c r="B194" s="9" t="s">
        <v>82</v>
      </c>
      <c r="C194" s="9" t="s">
        <v>87</v>
      </c>
      <c r="D194" s="9" t="s">
        <v>54</v>
      </c>
      <c r="E194" s="9" t="s">
        <v>63</v>
      </c>
      <c r="F194" s="9">
        <v>8</v>
      </c>
      <c r="G194" s="9">
        <v>472.03</v>
      </c>
      <c r="H194" s="9">
        <v>0</v>
      </c>
      <c r="I194" s="9">
        <v>3776.21</v>
      </c>
      <c r="J194" s="9">
        <v>4</v>
      </c>
      <c r="K194">
        <f t="shared" si="4"/>
        <v>3776.21</v>
      </c>
      <c r="L194" t="str">
        <f t="shared" si="5"/>
        <v>Jul</v>
      </c>
    </row>
    <row r="195" spans="1:12" ht="15.75" customHeight="1">
      <c r="A195" s="8">
        <v>45130</v>
      </c>
      <c r="B195" s="9" t="s">
        <v>82</v>
      </c>
      <c r="C195" s="9" t="s">
        <v>90</v>
      </c>
      <c r="D195" s="9" t="s">
        <v>50</v>
      </c>
      <c r="E195" s="9" t="s">
        <v>78</v>
      </c>
      <c r="F195" s="9">
        <v>7</v>
      </c>
      <c r="G195" s="9">
        <v>16.5</v>
      </c>
      <c r="H195" s="9">
        <v>0</v>
      </c>
      <c r="I195" s="9">
        <v>115.5</v>
      </c>
      <c r="J195" s="9">
        <v>4</v>
      </c>
      <c r="K195">
        <f t="shared" ref="K195:K251" si="6">I195-(G195*F195*H195)</f>
        <v>115.5</v>
      </c>
      <c r="L195" t="str">
        <f t="shared" ref="L195:L251" si="7">TEXT(A195,"MMM")</f>
        <v>Jul</v>
      </c>
    </row>
    <row r="196" spans="1:12" ht="15.75" customHeight="1">
      <c r="A196" s="8">
        <v>45131</v>
      </c>
      <c r="B196" s="9" t="s">
        <v>66</v>
      </c>
      <c r="C196" s="9" t="s">
        <v>91</v>
      </c>
      <c r="D196" s="9" t="s">
        <v>58</v>
      </c>
      <c r="E196" s="9" t="s">
        <v>59</v>
      </c>
      <c r="F196" s="9">
        <v>6</v>
      </c>
      <c r="G196" s="9">
        <v>453.99</v>
      </c>
      <c r="H196" s="9">
        <v>0.2</v>
      </c>
      <c r="I196" s="9">
        <v>2179.14</v>
      </c>
      <c r="J196" s="9">
        <v>4</v>
      </c>
      <c r="K196">
        <f t="shared" si="6"/>
        <v>1634.3519999999999</v>
      </c>
      <c r="L196" t="str">
        <f t="shared" si="7"/>
        <v>Jul</v>
      </c>
    </row>
    <row r="197" spans="1:12" ht="15.75" customHeight="1">
      <c r="A197" s="8">
        <v>45131</v>
      </c>
      <c r="B197" s="9" t="s">
        <v>48</v>
      </c>
      <c r="C197" s="9" t="s">
        <v>61</v>
      </c>
      <c r="D197" s="9" t="s">
        <v>58</v>
      </c>
      <c r="E197" s="9" t="s">
        <v>68</v>
      </c>
      <c r="F197" s="9">
        <v>8</v>
      </c>
      <c r="G197" s="9">
        <v>67.59</v>
      </c>
      <c r="H197" s="9">
        <v>0</v>
      </c>
      <c r="I197" s="9">
        <v>540.70000000000005</v>
      </c>
      <c r="J197" s="9">
        <v>3</v>
      </c>
      <c r="K197">
        <f t="shared" si="6"/>
        <v>540.70000000000005</v>
      </c>
      <c r="L197" t="str">
        <f t="shared" si="7"/>
        <v>Jul</v>
      </c>
    </row>
    <row r="198" spans="1:12" ht="15.75" customHeight="1">
      <c r="A198" s="8">
        <v>45131</v>
      </c>
      <c r="B198" s="9" t="s">
        <v>48</v>
      </c>
      <c r="C198" s="9" t="s">
        <v>61</v>
      </c>
      <c r="D198" s="9" t="s">
        <v>58</v>
      </c>
      <c r="E198" s="9" t="s">
        <v>68</v>
      </c>
      <c r="F198" s="9">
        <v>10</v>
      </c>
      <c r="G198" s="9">
        <v>21.4</v>
      </c>
      <c r="H198" s="9">
        <v>0.1</v>
      </c>
      <c r="I198" s="9">
        <v>192.63</v>
      </c>
      <c r="J198" s="9">
        <v>4</v>
      </c>
      <c r="K198">
        <f t="shared" si="6"/>
        <v>171.23</v>
      </c>
      <c r="L198" t="str">
        <f t="shared" si="7"/>
        <v>Jul</v>
      </c>
    </row>
    <row r="199" spans="1:12" ht="15.75" customHeight="1">
      <c r="A199" s="8">
        <v>45131</v>
      </c>
      <c r="B199" s="9" t="s">
        <v>82</v>
      </c>
      <c r="C199" s="9" t="s">
        <v>83</v>
      </c>
      <c r="D199" s="9" t="s">
        <v>58</v>
      </c>
      <c r="E199" s="9" t="s">
        <v>68</v>
      </c>
      <c r="F199" s="9">
        <v>9</v>
      </c>
      <c r="G199" s="9">
        <v>12.48</v>
      </c>
      <c r="H199" s="9">
        <v>0.1</v>
      </c>
      <c r="I199" s="9">
        <v>101.09</v>
      </c>
      <c r="J199" s="9">
        <v>4</v>
      </c>
      <c r="K199">
        <f t="shared" si="6"/>
        <v>89.858000000000004</v>
      </c>
      <c r="L199" t="str">
        <f t="shared" si="7"/>
        <v>Jul</v>
      </c>
    </row>
    <row r="200" spans="1:12" ht="15.75" customHeight="1">
      <c r="A200" s="8">
        <v>45132</v>
      </c>
      <c r="B200" s="9" t="s">
        <v>52</v>
      </c>
      <c r="C200" s="9" t="s">
        <v>93</v>
      </c>
      <c r="D200" s="9" t="s">
        <v>71</v>
      </c>
      <c r="E200" s="9" t="s">
        <v>76</v>
      </c>
      <c r="F200" s="9">
        <v>7</v>
      </c>
      <c r="G200" s="9">
        <v>80.13</v>
      </c>
      <c r="H200" s="9">
        <v>0.25</v>
      </c>
      <c r="I200" s="9">
        <v>420.7</v>
      </c>
      <c r="J200" s="9">
        <v>5</v>
      </c>
      <c r="K200">
        <f t="shared" si="6"/>
        <v>280.47249999999997</v>
      </c>
      <c r="L200" t="str">
        <f t="shared" si="7"/>
        <v>Jul</v>
      </c>
    </row>
    <row r="201" spans="1:12" ht="15.75" customHeight="1">
      <c r="A201" s="8">
        <v>45132</v>
      </c>
      <c r="B201" s="9" t="s">
        <v>56</v>
      </c>
      <c r="C201" s="9" t="s">
        <v>64</v>
      </c>
      <c r="D201" s="9" t="s">
        <v>71</v>
      </c>
      <c r="E201" s="9" t="s">
        <v>72</v>
      </c>
      <c r="F201" s="9">
        <v>8</v>
      </c>
      <c r="G201" s="9">
        <v>208.21</v>
      </c>
      <c r="H201" s="9">
        <v>0</v>
      </c>
      <c r="I201" s="9">
        <v>1665.67</v>
      </c>
      <c r="J201" s="9">
        <v>4</v>
      </c>
      <c r="K201">
        <f t="shared" si="6"/>
        <v>1665.67</v>
      </c>
      <c r="L201" t="str">
        <f t="shared" si="7"/>
        <v>Jul</v>
      </c>
    </row>
    <row r="202" spans="1:12" ht="15.75" customHeight="1">
      <c r="A202" s="8">
        <v>45132</v>
      </c>
      <c r="B202" s="9" t="s">
        <v>52</v>
      </c>
      <c r="C202" s="9" t="s">
        <v>80</v>
      </c>
      <c r="D202" s="9" t="s">
        <v>50</v>
      </c>
      <c r="E202" s="9" t="s">
        <v>78</v>
      </c>
      <c r="F202" s="9">
        <v>3</v>
      </c>
      <c r="G202" s="9">
        <v>438.42</v>
      </c>
      <c r="H202" s="9">
        <v>0.2</v>
      </c>
      <c r="I202" s="9">
        <v>1052.2</v>
      </c>
      <c r="J202" s="9">
        <v>5</v>
      </c>
      <c r="K202">
        <f t="shared" si="6"/>
        <v>789.14800000000002</v>
      </c>
      <c r="L202" t="str">
        <f t="shared" si="7"/>
        <v>Jul</v>
      </c>
    </row>
    <row r="203" spans="1:12" ht="15.75" customHeight="1">
      <c r="A203" s="8">
        <v>45132</v>
      </c>
      <c r="B203" s="9" t="s">
        <v>82</v>
      </c>
      <c r="C203" s="9" t="s">
        <v>85</v>
      </c>
      <c r="D203" s="9" t="s">
        <v>71</v>
      </c>
      <c r="E203" s="9" t="s">
        <v>76</v>
      </c>
      <c r="F203" s="9">
        <v>5</v>
      </c>
      <c r="G203" s="9">
        <v>145.91999999999999</v>
      </c>
      <c r="H203" s="9">
        <v>0.25</v>
      </c>
      <c r="I203" s="9">
        <v>547.19000000000005</v>
      </c>
      <c r="J203" s="9">
        <v>4</v>
      </c>
      <c r="K203">
        <f t="shared" si="6"/>
        <v>364.79000000000008</v>
      </c>
      <c r="L203" t="str">
        <f t="shared" si="7"/>
        <v>Jul</v>
      </c>
    </row>
    <row r="204" spans="1:12" ht="15.75" customHeight="1">
      <c r="A204" s="8">
        <v>45133</v>
      </c>
      <c r="B204" s="9" t="s">
        <v>48</v>
      </c>
      <c r="C204" s="9" t="s">
        <v>49</v>
      </c>
      <c r="D204" s="9" t="s">
        <v>50</v>
      </c>
      <c r="E204" s="9" t="s">
        <v>65</v>
      </c>
      <c r="F204" s="9">
        <v>7</v>
      </c>
      <c r="G204" s="9">
        <v>253.65</v>
      </c>
      <c r="H204" s="9">
        <v>0</v>
      </c>
      <c r="I204" s="9">
        <v>1775.56</v>
      </c>
      <c r="J204" s="9">
        <v>5</v>
      </c>
      <c r="K204">
        <f t="shared" si="6"/>
        <v>1775.56</v>
      </c>
      <c r="L204" t="str">
        <f t="shared" si="7"/>
        <v>Jul</v>
      </c>
    </row>
    <row r="205" spans="1:12" ht="15.75" customHeight="1">
      <c r="A205" s="8">
        <v>45133</v>
      </c>
      <c r="B205" s="9" t="s">
        <v>82</v>
      </c>
      <c r="C205" s="9" t="s">
        <v>89</v>
      </c>
      <c r="D205" s="9" t="s">
        <v>54</v>
      </c>
      <c r="E205" s="9" t="s">
        <v>63</v>
      </c>
      <c r="F205" s="9">
        <v>5</v>
      </c>
      <c r="G205" s="9">
        <v>481.98</v>
      </c>
      <c r="H205" s="9">
        <v>0.25</v>
      </c>
      <c r="I205" s="9">
        <v>1807.42</v>
      </c>
      <c r="J205" s="9">
        <v>5</v>
      </c>
      <c r="K205">
        <f t="shared" si="6"/>
        <v>1204.9450000000002</v>
      </c>
      <c r="L205" t="str">
        <f t="shared" si="7"/>
        <v>Jul</v>
      </c>
    </row>
    <row r="206" spans="1:12" ht="15.75" customHeight="1">
      <c r="A206" s="8">
        <v>45135</v>
      </c>
      <c r="B206" s="9" t="s">
        <v>48</v>
      </c>
      <c r="C206" s="9" t="s">
        <v>92</v>
      </c>
      <c r="D206" s="9" t="s">
        <v>71</v>
      </c>
      <c r="E206" s="9" t="s">
        <v>72</v>
      </c>
      <c r="F206" s="9">
        <v>2</v>
      </c>
      <c r="G206" s="9">
        <v>484.64</v>
      </c>
      <c r="H206" s="9">
        <v>0</v>
      </c>
      <c r="I206" s="9">
        <v>969.28</v>
      </c>
      <c r="J206" s="9">
        <v>4</v>
      </c>
      <c r="K206">
        <f t="shared" si="6"/>
        <v>969.28</v>
      </c>
      <c r="L206" t="str">
        <f t="shared" si="7"/>
        <v>Jul</v>
      </c>
    </row>
    <row r="207" spans="1:12" ht="15.75" customHeight="1">
      <c r="A207" s="8">
        <v>45135</v>
      </c>
      <c r="B207" s="9" t="s">
        <v>82</v>
      </c>
      <c r="C207" s="9" t="s">
        <v>83</v>
      </c>
      <c r="D207" s="9" t="s">
        <v>54</v>
      </c>
      <c r="E207" s="9" t="s">
        <v>63</v>
      </c>
      <c r="F207" s="9">
        <v>10</v>
      </c>
      <c r="G207" s="9">
        <v>384.05</v>
      </c>
      <c r="H207" s="9">
        <v>0.3</v>
      </c>
      <c r="I207" s="9">
        <v>2688.34</v>
      </c>
      <c r="J207" s="9">
        <v>4</v>
      </c>
      <c r="K207">
        <f t="shared" si="6"/>
        <v>1536.1900000000003</v>
      </c>
      <c r="L207" t="str">
        <f t="shared" si="7"/>
        <v>Jul</v>
      </c>
    </row>
    <row r="208" spans="1:12" ht="15.75" customHeight="1">
      <c r="A208" s="8">
        <v>45135</v>
      </c>
      <c r="B208" s="9" t="s">
        <v>66</v>
      </c>
      <c r="C208" s="9" t="s">
        <v>67</v>
      </c>
      <c r="D208" s="9" t="s">
        <v>71</v>
      </c>
      <c r="E208" s="9" t="s">
        <v>88</v>
      </c>
      <c r="F208" s="9">
        <v>2</v>
      </c>
      <c r="G208" s="9">
        <v>320.43</v>
      </c>
      <c r="H208" s="9">
        <v>0.2</v>
      </c>
      <c r="I208" s="9">
        <v>512.69000000000005</v>
      </c>
      <c r="J208" s="9">
        <v>3</v>
      </c>
      <c r="K208">
        <f t="shared" si="6"/>
        <v>384.51800000000003</v>
      </c>
      <c r="L208" t="str">
        <f t="shared" si="7"/>
        <v>Jul</v>
      </c>
    </row>
    <row r="209" spans="1:12" ht="15.75" customHeight="1">
      <c r="A209" s="8">
        <v>45138</v>
      </c>
      <c r="B209" s="9" t="s">
        <v>82</v>
      </c>
      <c r="C209" s="9" t="s">
        <v>90</v>
      </c>
      <c r="D209" s="9" t="s">
        <v>58</v>
      </c>
      <c r="E209" s="9" t="s">
        <v>68</v>
      </c>
      <c r="F209" s="9">
        <v>6</v>
      </c>
      <c r="G209" s="9">
        <v>360.15</v>
      </c>
      <c r="H209" s="9">
        <v>0.3</v>
      </c>
      <c r="I209" s="9">
        <v>1512.64</v>
      </c>
      <c r="J209" s="9">
        <v>5</v>
      </c>
      <c r="K209">
        <f t="shared" si="6"/>
        <v>864.37000000000023</v>
      </c>
      <c r="L209" t="str">
        <f t="shared" si="7"/>
        <v>Jul</v>
      </c>
    </row>
    <row r="210" spans="1:12" ht="15.75" customHeight="1">
      <c r="A210" s="8">
        <v>45138</v>
      </c>
      <c r="B210" s="9" t="s">
        <v>48</v>
      </c>
      <c r="C210" s="9" t="s">
        <v>61</v>
      </c>
      <c r="D210" s="9" t="s">
        <v>71</v>
      </c>
      <c r="E210" s="9" t="s">
        <v>88</v>
      </c>
      <c r="F210" s="9">
        <v>10</v>
      </c>
      <c r="G210" s="9">
        <v>454.85</v>
      </c>
      <c r="H210" s="9">
        <v>0</v>
      </c>
      <c r="I210" s="9">
        <v>4548.54</v>
      </c>
      <c r="J210" s="9">
        <v>5</v>
      </c>
      <c r="K210">
        <f t="shared" si="6"/>
        <v>4548.54</v>
      </c>
      <c r="L210" t="str">
        <f t="shared" si="7"/>
        <v>Jul</v>
      </c>
    </row>
    <row r="211" spans="1:12" ht="15.75" customHeight="1">
      <c r="A211" s="8">
        <v>45139</v>
      </c>
      <c r="B211" s="9" t="s">
        <v>82</v>
      </c>
      <c r="C211" s="9" t="s">
        <v>83</v>
      </c>
      <c r="D211" s="9" t="s">
        <v>50</v>
      </c>
      <c r="E211" s="9" t="s">
        <v>51</v>
      </c>
      <c r="F211" s="9">
        <v>10</v>
      </c>
      <c r="G211" s="9">
        <v>217.5</v>
      </c>
      <c r="H211" s="9">
        <v>0.2</v>
      </c>
      <c r="I211" s="9">
        <v>1740.01</v>
      </c>
      <c r="J211" s="9">
        <v>3</v>
      </c>
      <c r="K211">
        <f t="shared" si="6"/>
        <v>1305.01</v>
      </c>
      <c r="L211" t="str">
        <f t="shared" si="7"/>
        <v>Aug</v>
      </c>
    </row>
    <row r="212" spans="1:12" ht="15.75" customHeight="1">
      <c r="A212" s="8">
        <v>45139</v>
      </c>
      <c r="B212" s="9" t="s">
        <v>48</v>
      </c>
      <c r="C212" s="9" t="s">
        <v>61</v>
      </c>
      <c r="D212" s="9" t="s">
        <v>58</v>
      </c>
      <c r="E212" s="9" t="s">
        <v>62</v>
      </c>
      <c r="F212" s="9">
        <v>2</v>
      </c>
      <c r="G212" s="9">
        <v>224.85</v>
      </c>
      <c r="H212" s="9">
        <v>0.2</v>
      </c>
      <c r="I212" s="9">
        <v>359.76</v>
      </c>
      <c r="J212" s="9">
        <v>3</v>
      </c>
      <c r="K212">
        <f t="shared" si="6"/>
        <v>269.82</v>
      </c>
      <c r="L212" t="str">
        <f t="shared" si="7"/>
        <v>Aug</v>
      </c>
    </row>
    <row r="213" spans="1:12" ht="15.75" customHeight="1">
      <c r="A213" s="8">
        <v>45139</v>
      </c>
      <c r="B213" s="9" t="s">
        <v>56</v>
      </c>
      <c r="C213" s="9" t="s">
        <v>70</v>
      </c>
      <c r="D213" s="9" t="s">
        <v>54</v>
      </c>
      <c r="E213" s="9" t="s">
        <v>63</v>
      </c>
      <c r="F213" s="9">
        <v>2</v>
      </c>
      <c r="G213" s="9">
        <v>334.64</v>
      </c>
      <c r="H213" s="9">
        <v>0.1</v>
      </c>
      <c r="I213" s="9">
        <v>602.34</v>
      </c>
      <c r="J213" s="9">
        <v>5</v>
      </c>
      <c r="K213">
        <f t="shared" si="6"/>
        <v>535.41200000000003</v>
      </c>
      <c r="L213" t="str">
        <f t="shared" si="7"/>
        <v>Aug</v>
      </c>
    </row>
    <row r="214" spans="1:12" ht="15.75" customHeight="1">
      <c r="A214" s="8">
        <v>45140</v>
      </c>
      <c r="B214" s="9" t="s">
        <v>66</v>
      </c>
      <c r="C214" s="9" t="s">
        <v>84</v>
      </c>
      <c r="D214" s="9" t="s">
        <v>58</v>
      </c>
      <c r="E214" s="9" t="s">
        <v>59</v>
      </c>
      <c r="F214" s="9">
        <v>1</v>
      </c>
      <c r="G214" s="9">
        <v>358.56</v>
      </c>
      <c r="H214" s="9">
        <v>0.2</v>
      </c>
      <c r="I214" s="9">
        <v>286.85000000000002</v>
      </c>
      <c r="J214" s="9">
        <v>3</v>
      </c>
      <c r="K214">
        <f t="shared" si="6"/>
        <v>215.13800000000003</v>
      </c>
      <c r="L214" t="str">
        <f t="shared" si="7"/>
        <v>Aug</v>
      </c>
    </row>
    <row r="215" spans="1:12" ht="15.75" customHeight="1">
      <c r="A215" s="8">
        <v>45140</v>
      </c>
      <c r="B215" s="9" t="s">
        <v>56</v>
      </c>
      <c r="C215" s="9" t="s">
        <v>64</v>
      </c>
      <c r="D215" s="9" t="s">
        <v>50</v>
      </c>
      <c r="E215" s="9" t="s">
        <v>65</v>
      </c>
      <c r="F215" s="9">
        <v>2</v>
      </c>
      <c r="G215" s="9">
        <v>389.82</v>
      </c>
      <c r="H215" s="9">
        <v>0.1</v>
      </c>
      <c r="I215" s="9">
        <v>701.67</v>
      </c>
      <c r="J215" s="9">
        <v>4</v>
      </c>
      <c r="K215">
        <f t="shared" si="6"/>
        <v>623.7059999999999</v>
      </c>
      <c r="L215" t="str">
        <f t="shared" si="7"/>
        <v>Aug</v>
      </c>
    </row>
    <row r="216" spans="1:12" ht="15.75" customHeight="1">
      <c r="A216" s="8">
        <v>45141</v>
      </c>
      <c r="B216" s="9" t="s">
        <v>56</v>
      </c>
      <c r="C216" s="9" t="s">
        <v>79</v>
      </c>
      <c r="D216" s="9" t="s">
        <v>50</v>
      </c>
      <c r="E216" s="9" t="s">
        <v>65</v>
      </c>
      <c r="F216" s="9">
        <v>5</v>
      </c>
      <c r="G216" s="9">
        <v>86.45</v>
      </c>
      <c r="H216" s="9">
        <v>0.2</v>
      </c>
      <c r="I216" s="9">
        <v>345.8</v>
      </c>
      <c r="J216" s="9">
        <v>4</v>
      </c>
      <c r="K216">
        <f t="shared" si="6"/>
        <v>259.35000000000002</v>
      </c>
      <c r="L216" t="str">
        <f t="shared" si="7"/>
        <v>Aug</v>
      </c>
    </row>
    <row r="217" spans="1:12" ht="15.75" customHeight="1">
      <c r="A217" s="8">
        <v>45141</v>
      </c>
      <c r="B217" s="9" t="s">
        <v>66</v>
      </c>
      <c r="C217" s="9" t="s">
        <v>67</v>
      </c>
      <c r="D217" s="9" t="s">
        <v>71</v>
      </c>
      <c r="E217" s="9" t="s">
        <v>72</v>
      </c>
      <c r="F217" s="9">
        <v>7</v>
      </c>
      <c r="G217" s="9">
        <v>449.08</v>
      </c>
      <c r="H217" s="9">
        <v>0</v>
      </c>
      <c r="I217" s="9">
        <v>3143.59</v>
      </c>
      <c r="J217" s="9">
        <v>3</v>
      </c>
      <c r="K217">
        <f t="shared" si="6"/>
        <v>3143.59</v>
      </c>
      <c r="L217" t="str">
        <f t="shared" si="7"/>
        <v>Aug</v>
      </c>
    </row>
    <row r="218" spans="1:12" ht="15.75" customHeight="1">
      <c r="A218" s="8">
        <v>45143</v>
      </c>
      <c r="B218" s="9" t="s">
        <v>52</v>
      </c>
      <c r="C218" s="9" t="s">
        <v>93</v>
      </c>
      <c r="D218" s="9" t="s">
        <v>54</v>
      </c>
      <c r="E218" s="9" t="s">
        <v>86</v>
      </c>
      <c r="F218" s="9">
        <v>4</v>
      </c>
      <c r="G218" s="9">
        <v>258.73</v>
      </c>
      <c r="H218" s="9">
        <v>0</v>
      </c>
      <c r="I218" s="9">
        <v>1034.92</v>
      </c>
      <c r="J218" s="9">
        <v>4</v>
      </c>
      <c r="K218">
        <f t="shared" si="6"/>
        <v>1034.92</v>
      </c>
      <c r="L218" t="str">
        <f t="shared" si="7"/>
        <v>Aug</v>
      </c>
    </row>
    <row r="219" spans="1:12" ht="15.75" customHeight="1">
      <c r="A219" s="8">
        <v>45143</v>
      </c>
      <c r="B219" s="9" t="s">
        <v>82</v>
      </c>
      <c r="C219" s="9" t="s">
        <v>89</v>
      </c>
      <c r="D219" s="9" t="s">
        <v>71</v>
      </c>
      <c r="E219" s="9" t="s">
        <v>76</v>
      </c>
      <c r="F219" s="9">
        <v>4</v>
      </c>
      <c r="G219" s="9">
        <v>184</v>
      </c>
      <c r="H219" s="9">
        <v>0</v>
      </c>
      <c r="I219" s="9">
        <v>736</v>
      </c>
      <c r="J219" s="9">
        <v>5</v>
      </c>
      <c r="K219">
        <f t="shared" si="6"/>
        <v>736</v>
      </c>
      <c r="L219" t="str">
        <f t="shared" si="7"/>
        <v>Aug</v>
      </c>
    </row>
    <row r="220" spans="1:12" ht="15.75" customHeight="1">
      <c r="A220" s="8">
        <v>45146</v>
      </c>
      <c r="B220" s="9" t="s">
        <v>52</v>
      </c>
      <c r="C220" s="9" t="s">
        <v>73</v>
      </c>
      <c r="D220" s="9" t="s">
        <v>71</v>
      </c>
      <c r="E220" s="9" t="s">
        <v>76</v>
      </c>
      <c r="F220" s="9">
        <v>10</v>
      </c>
      <c r="G220" s="9">
        <v>475.08</v>
      </c>
      <c r="H220" s="9">
        <v>0.25</v>
      </c>
      <c r="I220" s="9">
        <v>3563.11</v>
      </c>
      <c r="J220" s="9">
        <v>4</v>
      </c>
      <c r="K220">
        <f t="shared" si="6"/>
        <v>2375.41</v>
      </c>
      <c r="L220" t="str">
        <f t="shared" si="7"/>
        <v>Aug</v>
      </c>
    </row>
    <row r="221" spans="1:12" ht="15.75" customHeight="1">
      <c r="A221" s="8">
        <v>45147</v>
      </c>
      <c r="B221" s="9" t="s">
        <v>52</v>
      </c>
      <c r="C221" s="9" t="s">
        <v>73</v>
      </c>
      <c r="D221" s="9" t="s">
        <v>54</v>
      </c>
      <c r="E221" s="9" t="s">
        <v>86</v>
      </c>
      <c r="F221" s="9">
        <v>8</v>
      </c>
      <c r="G221" s="9">
        <v>243.54</v>
      </c>
      <c r="H221" s="9">
        <v>0.3</v>
      </c>
      <c r="I221" s="9">
        <v>1363.84</v>
      </c>
      <c r="J221" s="9">
        <v>4</v>
      </c>
      <c r="K221">
        <f t="shared" si="6"/>
        <v>779.34399999999994</v>
      </c>
      <c r="L221" t="str">
        <f t="shared" si="7"/>
        <v>Aug</v>
      </c>
    </row>
    <row r="222" spans="1:12" ht="15.75" customHeight="1">
      <c r="A222" s="8">
        <v>45147</v>
      </c>
      <c r="B222" s="9" t="s">
        <v>48</v>
      </c>
      <c r="C222" s="9" t="s">
        <v>81</v>
      </c>
      <c r="D222" s="9" t="s">
        <v>54</v>
      </c>
      <c r="E222" s="9" t="s">
        <v>55</v>
      </c>
      <c r="F222" s="9">
        <v>9</v>
      </c>
      <c r="G222" s="9">
        <v>493.57</v>
      </c>
      <c r="H222" s="9">
        <v>0</v>
      </c>
      <c r="I222" s="9">
        <v>4442.17</v>
      </c>
      <c r="J222" s="9">
        <v>4</v>
      </c>
      <c r="K222">
        <f t="shared" si="6"/>
        <v>4442.17</v>
      </c>
      <c r="L222" t="str">
        <f t="shared" si="7"/>
        <v>Aug</v>
      </c>
    </row>
    <row r="223" spans="1:12" ht="15.75" customHeight="1">
      <c r="A223" s="8">
        <v>45147</v>
      </c>
      <c r="B223" s="9" t="s">
        <v>52</v>
      </c>
      <c r="C223" s="9" t="s">
        <v>73</v>
      </c>
      <c r="D223" s="9" t="s">
        <v>50</v>
      </c>
      <c r="E223" s="9" t="s">
        <v>51</v>
      </c>
      <c r="F223" s="9">
        <v>9</v>
      </c>
      <c r="G223" s="9">
        <v>327.37</v>
      </c>
      <c r="H223" s="9">
        <v>0</v>
      </c>
      <c r="I223" s="9">
        <v>2946.31</v>
      </c>
      <c r="J223" s="9">
        <v>4</v>
      </c>
      <c r="K223">
        <f t="shared" si="6"/>
        <v>2946.31</v>
      </c>
      <c r="L223" t="str">
        <f t="shared" si="7"/>
        <v>Aug</v>
      </c>
    </row>
    <row r="224" spans="1:12" ht="15.75" customHeight="1">
      <c r="A224" s="8">
        <v>45149</v>
      </c>
      <c r="B224" s="9" t="s">
        <v>82</v>
      </c>
      <c r="C224" s="9" t="s">
        <v>83</v>
      </c>
      <c r="D224" s="9" t="s">
        <v>54</v>
      </c>
      <c r="E224" s="9" t="s">
        <v>63</v>
      </c>
      <c r="F224" s="9">
        <v>7</v>
      </c>
      <c r="G224" s="9">
        <v>260.72000000000003</v>
      </c>
      <c r="H224" s="9">
        <v>0.25</v>
      </c>
      <c r="I224" s="9">
        <v>1368.79</v>
      </c>
      <c r="J224" s="9">
        <v>5</v>
      </c>
      <c r="K224">
        <f t="shared" si="6"/>
        <v>912.53</v>
      </c>
      <c r="L224" t="str">
        <f t="shared" si="7"/>
        <v>Aug</v>
      </c>
    </row>
    <row r="225" spans="1:12" ht="15.75" customHeight="1">
      <c r="A225" s="8">
        <v>45149</v>
      </c>
      <c r="B225" s="9" t="s">
        <v>56</v>
      </c>
      <c r="C225" s="9" t="s">
        <v>74</v>
      </c>
      <c r="D225" s="9" t="s">
        <v>50</v>
      </c>
      <c r="E225" s="9" t="s">
        <v>65</v>
      </c>
      <c r="F225" s="9">
        <v>2</v>
      </c>
      <c r="G225" s="9">
        <v>198.85</v>
      </c>
      <c r="H225" s="9">
        <v>0.1</v>
      </c>
      <c r="I225" s="9">
        <v>357.94</v>
      </c>
      <c r="J225" s="9">
        <v>5</v>
      </c>
      <c r="K225">
        <f t="shared" si="6"/>
        <v>318.17</v>
      </c>
      <c r="L225" t="str">
        <f t="shared" si="7"/>
        <v>Aug</v>
      </c>
    </row>
    <row r="226" spans="1:12" ht="15.75" customHeight="1">
      <c r="A226" s="8">
        <v>45150</v>
      </c>
      <c r="B226" s="9" t="s">
        <v>52</v>
      </c>
      <c r="C226" s="9" t="s">
        <v>53</v>
      </c>
      <c r="D226" s="9" t="s">
        <v>50</v>
      </c>
      <c r="E226" s="9" t="s">
        <v>51</v>
      </c>
      <c r="F226" s="9">
        <v>3</v>
      </c>
      <c r="G226" s="9">
        <v>90.49</v>
      </c>
      <c r="H226" s="9">
        <v>0.3</v>
      </c>
      <c r="I226" s="9">
        <v>190.03</v>
      </c>
      <c r="J226" s="9">
        <v>4</v>
      </c>
      <c r="K226">
        <f t="shared" si="6"/>
        <v>108.58900000000001</v>
      </c>
      <c r="L226" t="str">
        <f t="shared" si="7"/>
        <v>Aug</v>
      </c>
    </row>
    <row r="227" spans="1:12" ht="15.75" customHeight="1">
      <c r="A227" s="8">
        <v>45150</v>
      </c>
      <c r="B227" s="9" t="s">
        <v>82</v>
      </c>
      <c r="C227" s="9" t="s">
        <v>85</v>
      </c>
      <c r="D227" s="9" t="s">
        <v>50</v>
      </c>
      <c r="E227" s="9" t="s">
        <v>78</v>
      </c>
      <c r="F227" s="9">
        <v>4</v>
      </c>
      <c r="G227" s="9">
        <v>311.77</v>
      </c>
      <c r="H227" s="9">
        <v>0.1</v>
      </c>
      <c r="I227" s="9">
        <v>1122.3599999999999</v>
      </c>
      <c r="J227" s="9">
        <v>3</v>
      </c>
      <c r="K227">
        <f t="shared" si="6"/>
        <v>997.65199999999993</v>
      </c>
      <c r="L227" t="str">
        <f t="shared" si="7"/>
        <v>Aug</v>
      </c>
    </row>
    <row r="228" spans="1:12" ht="15.75" customHeight="1">
      <c r="A228" s="8">
        <v>45150</v>
      </c>
      <c r="B228" s="9" t="s">
        <v>56</v>
      </c>
      <c r="C228" s="9" t="s">
        <v>70</v>
      </c>
      <c r="D228" s="9" t="s">
        <v>50</v>
      </c>
      <c r="E228" s="9" t="s">
        <v>78</v>
      </c>
      <c r="F228" s="9">
        <v>6</v>
      </c>
      <c r="G228" s="9">
        <v>351.05</v>
      </c>
      <c r="H228" s="9">
        <v>0.1</v>
      </c>
      <c r="I228" s="9">
        <v>1895.69</v>
      </c>
      <c r="J228" s="9">
        <v>5</v>
      </c>
      <c r="K228">
        <f t="shared" si="6"/>
        <v>1685.06</v>
      </c>
      <c r="L228" t="str">
        <f t="shared" si="7"/>
        <v>Aug</v>
      </c>
    </row>
    <row r="229" spans="1:12" ht="15.75" customHeight="1">
      <c r="A229" s="8">
        <v>45151</v>
      </c>
      <c r="B229" s="9" t="s">
        <v>52</v>
      </c>
      <c r="C229" s="9" t="s">
        <v>80</v>
      </c>
      <c r="D229" s="9" t="s">
        <v>58</v>
      </c>
      <c r="E229" s="9" t="s">
        <v>68</v>
      </c>
      <c r="F229" s="9">
        <v>8</v>
      </c>
      <c r="G229" s="9">
        <v>329.17</v>
      </c>
      <c r="H229" s="9">
        <v>0</v>
      </c>
      <c r="I229" s="9">
        <v>2633.36</v>
      </c>
      <c r="J229" s="9">
        <v>4</v>
      </c>
      <c r="K229">
        <f t="shared" si="6"/>
        <v>2633.36</v>
      </c>
      <c r="L229" t="str">
        <f t="shared" si="7"/>
        <v>Aug</v>
      </c>
    </row>
    <row r="230" spans="1:12" ht="15.75" customHeight="1">
      <c r="A230" s="8">
        <v>45152</v>
      </c>
      <c r="B230" s="9" t="s">
        <v>66</v>
      </c>
      <c r="C230" s="9" t="s">
        <v>69</v>
      </c>
      <c r="D230" s="9" t="s">
        <v>54</v>
      </c>
      <c r="E230" s="9" t="s">
        <v>55</v>
      </c>
      <c r="F230" s="9">
        <v>4</v>
      </c>
      <c r="G230" s="9">
        <v>290.98</v>
      </c>
      <c r="H230" s="9">
        <v>0.3</v>
      </c>
      <c r="I230" s="9">
        <v>814.76</v>
      </c>
      <c r="J230" s="9">
        <v>5</v>
      </c>
      <c r="K230">
        <f t="shared" si="6"/>
        <v>465.584</v>
      </c>
      <c r="L230" t="str">
        <f t="shared" si="7"/>
        <v>Aug</v>
      </c>
    </row>
    <row r="231" spans="1:12" ht="15.75" customHeight="1">
      <c r="A231" s="8">
        <v>45152</v>
      </c>
      <c r="B231" s="9" t="s">
        <v>52</v>
      </c>
      <c r="C231" s="9" t="s">
        <v>73</v>
      </c>
      <c r="D231" s="9" t="s">
        <v>54</v>
      </c>
      <c r="E231" s="9" t="s">
        <v>86</v>
      </c>
      <c r="F231" s="9">
        <v>10</v>
      </c>
      <c r="G231" s="9">
        <v>43.77</v>
      </c>
      <c r="H231" s="9">
        <v>0.2</v>
      </c>
      <c r="I231" s="9">
        <v>350.17</v>
      </c>
      <c r="J231" s="9">
        <v>5</v>
      </c>
      <c r="K231">
        <f t="shared" si="6"/>
        <v>262.63</v>
      </c>
      <c r="L231" t="str">
        <f t="shared" si="7"/>
        <v>Aug</v>
      </c>
    </row>
    <row r="232" spans="1:12" ht="15.75" customHeight="1">
      <c r="A232" s="8">
        <v>45153</v>
      </c>
      <c r="B232" s="9" t="s">
        <v>56</v>
      </c>
      <c r="C232" s="9" t="s">
        <v>70</v>
      </c>
      <c r="D232" s="9" t="s">
        <v>58</v>
      </c>
      <c r="E232" s="9" t="s">
        <v>59</v>
      </c>
      <c r="F232" s="9">
        <v>1</v>
      </c>
      <c r="G232" s="9">
        <v>271.83</v>
      </c>
      <c r="H232" s="9">
        <v>0.3</v>
      </c>
      <c r="I232" s="9">
        <v>190.28</v>
      </c>
      <c r="J232" s="9">
        <v>5</v>
      </c>
      <c r="K232">
        <f t="shared" si="6"/>
        <v>108.73100000000001</v>
      </c>
      <c r="L232" t="str">
        <f t="shared" si="7"/>
        <v>Aug</v>
      </c>
    </row>
    <row r="233" spans="1:12" ht="15.75" customHeight="1">
      <c r="A233" s="8">
        <v>45155</v>
      </c>
      <c r="B233" s="9" t="s">
        <v>82</v>
      </c>
      <c r="C233" s="9" t="s">
        <v>87</v>
      </c>
      <c r="D233" s="9" t="s">
        <v>50</v>
      </c>
      <c r="E233" s="9" t="s">
        <v>51</v>
      </c>
      <c r="F233" s="9">
        <v>8</v>
      </c>
      <c r="G233" s="9">
        <v>173.52</v>
      </c>
      <c r="H233" s="9">
        <v>0.2</v>
      </c>
      <c r="I233" s="9">
        <v>1110.51</v>
      </c>
      <c r="J233" s="9">
        <v>5</v>
      </c>
      <c r="K233">
        <f t="shared" si="6"/>
        <v>832.87799999999993</v>
      </c>
      <c r="L233" t="str">
        <f t="shared" si="7"/>
        <v>Aug</v>
      </c>
    </row>
    <row r="234" spans="1:12" ht="15.75" customHeight="1">
      <c r="A234" s="8">
        <v>45156</v>
      </c>
      <c r="B234" s="9" t="s">
        <v>56</v>
      </c>
      <c r="C234" s="9" t="s">
        <v>79</v>
      </c>
      <c r="D234" s="9" t="s">
        <v>71</v>
      </c>
      <c r="E234" s="9" t="s">
        <v>88</v>
      </c>
      <c r="F234" s="9">
        <v>5</v>
      </c>
      <c r="G234" s="9">
        <v>256.29000000000002</v>
      </c>
      <c r="H234" s="9">
        <v>0.25</v>
      </c>
      <c r="I234" s="9">
        <v>961.1</v>
      </c>
      <c r="J234" s="9">
        <v>3</v>
      </c>
      <c r="K234">
        <f t="shared" si="6"/>
        <v>640.73749999999995</v>
      </c>
      <c r="L234" t="str">
        <f t="shared" si="7"/>
        <v>Aug</v>
      </c>
    </row>
    <row r="235" spans="1:12" ht="15.75" customHeight="1">
      <c r="A235" s="8">
        <v>45157</v>
      </c>
      <c r="B235" s="9" t="s">
        <v>52</v>
      </c>
      <c r="C235" s="9" t="s">
        <v>53</v>
      </c>
      <c r="D235" s="9" t="s">
        <v>71</v>
      </c>
      <c r="E235" s="9" t="s">
        <v>72</v>
      </c>
      <c r="F235" s="9">
        <v>5</v>
      </c>
      <c r="G235" s="9">
        <v>101.65</v>
      </c>
      <c r="H235" s="9">
        <v>0.25</v>
      </c>
      <c r="I235" s="9">
        <v>381.19</v>
      </c>
      <c r="J235" s="9">
        <v>4</v>
      </c>
      <c r="K235">
        <f t="shared" si="6"/>
        <v>254.1275</v>
      </c>
      <c r="L235" t="str">
        <f t="shared" si="7"/>
        <v>Aug</v>
      </c>
    </row>
    <row r="236" spans="1:12" ht="15.75" customHeight="1">
      <c r="A236" s="8">
        <v>45158</v>
      </c>
      <c r="B236" s="9" t="s">
        <v>48</v>
      </c>
      <c r="C236" s="9" t="s">
        <v>92</v>
      </c>
      <c r="D236" s="9" t="s">
        <v>58</v>
      </c>
      <c r="E236" s="9" t="s">
        <v>68</v>
      </c>
      <c r="F236" s="9">
        <v>3</v>
      </c>
      <c r="G236" s="9">
        <v>200.71</v>
      </c>
      <c r="H236" s="9">
        <v>0.25</v>
      </c>
      <c r="I236" s="9">
        <v>451.59</v>
      </c>
      <c r="J236" s="9">
        <v>5</v>
      </c>
      <c r="K236">
        <f t="shared" si="6"/>
        <v>301.0575</v>
      </c>
      <c r="L236" t="str">
        <f t="shared" si="7"/>
        <v>Aug</v>
      </c>
    </row>
    <row r="237" spans="1:12" ht="15.75" customHeight="1">
      <c r="A237" s="8">
        <v>45160</v>
      </c>
      <c r="B237" s="9" t="s">
        <v>66</v>
      </c>
      <c r="C237" s="9" t="s">
        <v>91</v>
      </c>
      <c r="D237" s="9" t="s">
        <v>54</v>
      </c>
      <c r="E237" s="9" t="s">
        <v>86</v>
      </c>
      <c r="F237" s="9">
        <v>7</v>
      </c>
      <c r="G237" s="9">
        <v>44.88</v>
      </c>
      <c r="H237" s="9">
        <v>0.3</v>
      </c>
      <c r="I237" s="9">
        <v>219.92</v>
      </c>
      <c r="J237" s="9">
        <v>4</v>
      </c>
      <c r="K237">
        <f t="shared" si="6"/>
        <v>125.67199999999998</v>
      </c>
      <c r="L237" t="str">
        <f t="shared" si="7"/>
        <v>Aug</v>
      </c>
    </row>
    <row r="238" spans="1:12" ht="15.75" customHeight="1">
      <c r="A238" s="8">
        <v>45163</v>
      </c>
      <c r="B238" s="9" t="s">
        <v>52</v>
      </c>
      <c r="C238" s="9" t="s">
        <v>73</v>
      </c>
      <c r="D238" s="9" t="s">
        <v>54</v>
      </c>
      <c r="E238" s="9" t="s">
        <v>55</v>
      </c>
      <c r="F238" s="9">
        <v>5</v>
      </c>
      <c r="G238" s="9">
        <v>124.28</v>
      </c>
      <c r="H238" s="9">
        <v>0.3</v>
      </c>
      <c r="I238" s="9">
        <v>434.99</v>
      </c>
      <c r="J238" s="9">
        <v>3</v>
      </c>
      <c r="K238">
        <f t="shared" si="6"/>
        <v>248.57000000000002</v>
      </c>
      <c r="L238" t="str">
        <f t="shared" si="7"/>
        <v>Aug</v>
      </c>
    </row>
    <row r="239" spans="1:12" ht="15.75" customHeight="1">
      <c r="A239" s="8">
        <v>45163</v>
      </c>
      <c r="B239" s="9" t="s">
        <v>52</v>
      </c>
      <c r="C239" s="9" t="s">
        <v>93</v>
      </c>
      <c r="D239" s="9" t="s">
        <v>58</v>
      </c>
      <c r="E239" s="9" t="s">
        <v>59</v>
      </c>
      <c r="F239" s="9">
        <v>4</v>
      </c>
      <c r="G239" s="9">
        <v>358.97</v>
      </c>
      <c r="H239" s="9">
        <v>0</v>
      </c>
      <c r="I239" s="9">
        <v>1435.87</v>
      </c>
      <c r="J239" s="9">
        <v>5</v>
      </c>
      <c r="K239">
        <f t="shared" si="6"/>
        <v>1435.87</v>
      </c>
      <c r="L239" t="str">
        <f t="shared" si="7"/>
        <v>Aug</v>
      </c>
    </row>
    <row r="240" spans="1:12" ht="15.75" customHeight="1">
      <c r="A240" s="8">
        <v>45165</v>
      </c>
      <c r="B240" s="9" t="s">
        <v>48</v>
      </c>
      <c r="C240" s="9" t="s">
        <v>49</v>
      </c>
      <c r="D240" s="9" t="s">
        <v>58</v>
      </c>
      <c r="E240" s="9" t="s">
        <v>59</v>
      </c>
      <c r="F240" s="9">
        <v>6</v>
      </c>
      <c r="G240" s="9">
        <v>388.44</v>
      </c>
      <c r="H240" s="9">
        <v>0.2</v>
      </c>
      <c r="I240" s="9">
        <v>1864.49</v>
      </c>
      <c r="J240" s="9">
        <v>4</v>
      </c>
      <c r="K240">
        <f t="shared" si="6"/>
        <v>1398.3620000000001</v>
      </c>
      <c r="L240" t="str">
        <f t="shared" si="7"/>
        <v>Aug</v>
      </c>
    </row>
    <row r="241" spans="1:12" ht="15.75" customHeight="1">
      <c r="A241" s="8">
        <v>45166</v>
      </c>
      <c r="B241" s="9" t="s">
        <v>56</v>
      </c>
      <c r="C241" s="9" t="s">
        <v>79</v>
      </c>
      <c r="D241" s="9" t="s">
        <v>50</v>
      </c>
      <c r="E241" s="9" t="s">
        <v>51</v>
      </c>
      <c r="F241" s="9">
        <v>4</v>
      </c>
      <c r="G241" s="9">
        <v>447.35</v>
      </c>
      <c r="H241" s="9">
        <v>0.2</v>
      </c>
      <c r="I241" s="9">
        <v>1431.53</v>
      </c>
      <c r="J241" s="9">
        <v>4</v>
      </c>
      <c r="K241">
        <f t="shared" si="6"/>
        <v>1073.6499999999999</v>
      </c>
      <c r="L241" t="str">
        <f t="shared" si="7"/>
        <v>Aug</v>
      </c>
    </row>
    <row r="242" spans="1:12" ht="15.75" customHeight="1">
      <c r="A242" s="8">
        <v>45167</v>
      </c>
      <c r="B242" s="9" t="s">
        <v>56</v>
      </c>
      <c r="C242" s="9" t="s">
        <v>74</v>
      </c>
      <c r="D242" s="9" t="s">
        <v>54</v>
      </c>
      <c r="E242" s="9" t="s">
        <v>55</v>
      </c>
      <c r="F242" s="9">
        <v>8</v>
      </c>
      <c r="G242" s="9">
        <v>20.87</v>
      </c>
      <c r="H242" s="9">
        <v>0.1</v>
      </c>
      <c r="I242" s="9">
        <v>150.27000000000001</v>
      </c>
      <c r="J242" s="9">
        <v>4</v>
      </c>
      <c r="K242">
        <f t="shared" si="6"/>
        <v>133.57400000000001</v>
      </c>
      <c r="L242" t="str">
        <f t="shared" si="7"/>
        <v>Aug</v>
      </c>
    </row>
    <row r="243" spans="1:12" ht="15.75" customHeight="1">
      <c r="A243" s="8">
        <v>45167</v>
      </c>
      <c r="B243" s="9" t="s">
        <v>48</v>
      </c>
      <c r="C243" s="9" t="s">
        <v>92</v>
      </c>
      <c r="D243" s="9" t="s">
        <v>54</v>
      </c>
      <c r="E243" s="9" t="s">
        <v>63</v>
      </c>
      <c r="F243" s="9">
        <v>7</v>
      </c>
      <c r="G243" s="9">
        <v>215.69</v>
      </c>
      <c r="H243" s="9">
        <v>0.1</v>
      </c>
      <c r="I243" s="9">
        <v>1358.86</v>
      </c>
      <c r="J243" s="9">
        <v>3</v>
      </c>
      <c r="K243">
        <f t="shared" si="6"/>
        <v>1207.877</v>
      </c>
      <c r="L243" t="str">
        <f t="shared" si="7"/>
        <v>Aug</v>
      </c>
    </row>
    <row r="244" spans="1:12" ht="15.75" customHeight="1">
      <c r="A244" s="8">
        <v>45168</v>
      </c>
      <c r="B244" s="9" t="s">
        <v>52</v>
      </c>
      <c r="C244" s="9" t="s">
        <v>93</v>
      </c>
      <c r="D244" s="9" t="s">
        <v>58</v>
      </c>
      <c r="E244" s="9" t="s">
        <v>59</v>
      </c>
      <c r="F244" s="9">
        <v>4</v>
      </c>
      <c r="G244" s="9">
        <v>181.61</v>
      </c>
      <c r="H244" s="9">
        <v>0.25</v>
      </c>
      <c r="I244" s="9">
        <v>544.82000000000005</v>
      </c>
      <c r="J244" s="9">
        <v>4</v>
      </c>
      <c r="K244">
        <f t="shared" si="6"/>
        <v>363.21000000000004</v>
      </c>
      <c r="L244" t="str">
        <f t="shared" si="7"/>
        <v>Aug</v>
      </c>
    </row>
    <row r="245" spans="1:12" ht="15.75" customHeight="1">
      <c r="A245" s="8">
        <v>45170</v>
      </c>
      <c r="B245" s="9" t="s">
        <v>52</v>
      </c>
      <c r="C245" s="9" t="s">
        <v>75</v>
      </c>
      <c r="D245" s="9" t="s">
        <v>50</v>
      </c>
      <c r="E245" s="9" t="s">
        <v>78</v>
      </c>
      <c r="F245" s="9">
        <v>8</v>
      </c>
      <c r="G245" s="9">
        <v>142.71</v>
      </c>
      <c r="H245" s="9">
        <v>0.25</v>
      </c>
      <c r="I245" s="9">
        <v>856.25</v>
      </c>
      <c r="J245" s="9">
        <v>4</v>
      </c>
      <c r="K245">
        <f t="shared" si="6"/>
        <v>570.82999999999993</v>
      </c>
      <c r="L245" t="str">
        <f t="shared" si="7"/>
        <v>Sep</v>
      </c>
    </row>
    <row r="246" spans="1:12" ht="15.75" customHeight="1">
      <c r="A246" s="8">
        <v>45171</v>
      </c>
      <c r="B246" s="9" t="s">
        <v>82</v>
      </c>
      <c r="C246" s="9" t="s">
        <v>83</v>
      </c>
      <c r="D246" s="9" t="s">
        <v>50</v>
      </c>
      <c r="E246" s="9" t="s">
        <v>65</v>
      </c>
      <c r="F246" s="9">
        <v>3</v>
      </c>
      <c r="G246" s="9">
        <v>282.16000000000003</v>
      </c>
      <c r="H246" s="9">
        <v>0.3</v>
      </c>
      <c r="I246" s="9">
        <v>592.54</v>
      </c>
      <c r="J246" s="9">
        <v>5</v>
      </c>
      <c r="K246">
        <f t="shared" si="6"/>
        <v>338.596</v>
      </c>
      <c r="L246" t="str">
        <f t="shared" si="7"/>
        <v>Sep</v>
      </c>
    </row>
    <row r="247" spans="1:12" ht="15.75" customHeight="1">
      <c r="A247" s="8">
        <v>45172</v>
      </c>
      <c r="B247" s="9" t="s">
        <v>52</v>
      </c>
      <c r="C247" s="9" t="s">
        <v>93</v>
      </c>
      <c r="D247" s="9" t="s">
        <v>54</v>
      </c>
      <c r="E247" s="9" t="s">
        <v>63</v>
      </c>
      <c r="F247" s="9">
        <v>1</v>
      </c>
      <c r="G247" s="9">
        <v>420.78</v>
      </c>
      <c r="H247" s="9">
        <v>0.1</v>
      </c>
      <c r="I247" s="9">
        <v>378.7</v>
      </c>
      <c r="J247" s="9">
        <v>3</v>
      </c>
      <c r="K247">
        <f t="shared" si="6"/>
        <v>336.62199999999996</v>
      </c>
      <c r="L247" t="str">
        <f t="shared" si="7"/>
        <v>Sep</v>
      </c>
    </row>
    <row r="248" spans="1:12" ht="15.75" customHeight="1">
      <c r="A248" s="8">
        <v>45172</v>
      </c>
      <c r="B248" s="9" t="s">
        <v>52</v>
      </c>
      <c r="C248" s="9" t="s">
        <v>53</v>
      </c>
      <c r="D248" s="9" t="s">
        <v>50</v>
      </c>
      <c r="E248" s="9" t="s">
        <v>78</v>
      </c>
      <c r="F248" s="9">
        <v>3</v>
      </c>
      <c r="G248" s="9">
        <v>273.26</v>
      </c>
      <c r="H248" s="9">
        <v>0.2</v>
      </c>
      <c r="I248" s="9">
        <v>655.82</v>
      </c>
      <c r="J248" s="9">
        <v>5</v>
      </c>
      <c r="K248">
        <f t="shared" si="6"/>
        <v>491.86400000000003</v>
      </c>
      <c r="L248" t="str">
        <f t="shared" si="7"/>
        <v>Sep</v>
      </c>
    </row>
    <row r="249" spans="1:12" ht="15.75" customHeight="1">
      <c r="A249" s="8">
        <v>45173</v>
      </c>
      <c r="B249" s="9" t="s">
        <v>48</v>
      </c>
      <c r="C249" s="9" t="s">
        <v>60</v>
      </c>
      <c r="D249" s="9" t="s">
        <v>54</v>
      </c>
      <c r="E249" s="9" t="s">
        <v>55</v>
      </c>
      <c r="F249" s="9">
        <v>7</v>
      </c>
      <c r="G249" s="9">
        <v>167.82</v>
      </c>
      <c r="H249" s="9">
        <v>0.1</v>
      </c>
      <c r="I249" s="9">
        <v>1057.26</v>
      </c>
      <c r="J249" s="9">
        <v>5</v>
      </c>
      <c r="K249">
        <f t="shared" si="6"/>
        <v>939.78599999999994</v>
      </c>
      <c r="L249" t="str">
        <f t="shared" si="7"/>
        <v>Sep</v>
      </c>
    </row>
    <row r="250" spans="1:12" ht="15.75" customHeight="1">
      <c r="A250" s="8">
        <v>45174</v>
      </c>
      <c r="B250" s="9" t="s">
        <v>82</v>
      </c>
      <c r="C250" s="9" t="s">
        <v>83</v>
      </c>
      <c r="D250" s="9" t="s">
        <v>58</v>
      </c>
      <c r="E250" s="9" t="s">
        <v>59</v>
      </c>
      <c r="F250" s="9">
        <v>4</v>
      </c>
      <c r="G250" s="9">
        <v>460.19</v>
      </c>
      <c r="H250" s="9">
        <v>0.3</v>
      </c>
      <c r="I250" s="9">
        <v>1288.53</v>
      </c>
      <c r="J250" s="9">
        <v>5</v>
      </c>
      <c r="K250">
        <f t="shared" si="6"/>
        <v>736.30200000000002</v>
      </c>
      <c r="L250" t="str">
        <f t="shared" si="7"/>
        <v>Sep</v>
      </c>
    </row>
    <row r="251" spans="1:12" ht="15.75" customHeight="1">
      <c r="A251" s="8">
        <v>45175</v>
      </c>
      <c r="B251" s="9" t="s">
        <v>48</v>
      </c>
      <c r="C251" s="9" t="s">
        <v>92</v>
      </c>
      <c r="D251" s="9" t="s">
        <v>71</v>
      </c>
      <c r="E251" s="9" t="s">
        <v>76</v>
      </c>
      <c r="F251" s="9">
        <v>5</v>
      </c>
      <c r="G251" s="9">
        <v>451.2</v>
      </c>
      <c r="H251" s="9">
        <v>0.2</v>
      </c>
      <c r="I251" s="9">
        <v>1804.82</v>
      </c>
      <c r="J251" s="9">
        <v>3</v>
      </c>
      <c r="K251">
        <f t="shared" si="6"/>
        <v>1353.62</v>
      </c>
      <c r="L251" t="str">
        <f t="shared" si="7"/>
        <v>Sep</v>
      </c>
    </row>
    <row r="252" spans="1:12" ht="15.75" customHeight="1"/>
    <row r="253" spans="1:12" ht="15.75" customHeight="1"/>
    <row r="254" spans="1:12" ht="15.75" customHeight="1"/>
    <row r="255" spans="1:12" ht="15.75" customHeight="1"/>
    <row r="256" spans="1:1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pivot</vt:lpstr>
      <vt:lpstr>Dashbord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2026-05-14T11:36:52Z</dcterms:created>
  <dcterms:modified xsi:type="dcterms:W3CDTF">2026-05-14T11:36:52Z</dcterms:modified>
</cp:coreProperties>
</file>