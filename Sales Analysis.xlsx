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HREE RAJ SALES\Desktop\"/>
    </mc:Choice>
  </mc:AlternateContent>
  <bookViews>
    <workbookView xWindow="0" yWindow="0" windowWidth="19200" windowHeight="7050" firstSheet="1" activeTab="7"/>
  </bookViews>
  <sheets>
    <sheet name="SalesData" sheetId="1" r:id="rId1"/>
    <sheet name="Dataset" sheetId="4" r:id="rId2"/>
    <sheet name="Data Summarization" sheetId="3" r:id="rId3"/>
    <sheet name="Charts" sheetId="6" r:id="rId4"/>
    <sheet name="Regrestion" sheetId="10" r:id="rId5"/>
    <sheet name="Satstical Formula" sheetId="8" r:id="rId6"/>
    <sheet name="Formulas " sheetId="5" r:id="rId7"/>
    <sheet name="Dashbord" sheetId="7" r:id="rId8"/>
  </sheets>
  <definedNames>
    <definedName name="Slicer_Category">#N/A</definedName>
    <definedName name="Slicer_City">#N/A</definedName>
    <definedName name="Slicer_Product">#N/A</definedName>
    <definedName name="Slicer_Product1">#N/A</definedName>
  </definedNames>
  <calcPr calcId="162913"/>
  <pivotCaches>
    <pivotCache cacheId="0" r:id="rId9"/>
  </pivotCaches>
  <fileRecoveryPr repairLoad="1"/>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Lst>
</workbook>
</file>

<file path=xl/calcChain.xml><?xml version="1.0" encoding="utf-8"?>
<calcChain xmlns="http://schemas.openxmlformats.org/spreadsheetml/2006/main">
  <c r="H19" i="5" l="1"/>
  <c r="H20" i="5"/>
  <c r="H21" i="5"/>
  <c r="H22" i="5"/>
  <c r="D25" i="5"/>
  <c r="D24" i="5"/>
  <c r="D23" i="5"/>
  <c r="D22" i="5"/>
  <c r="D21" i="5"/>
  <c r="D20" i="5"/>
  <c r="D19" i="5"/>
  <c r="D15" i="5"/>
  <c r="D14" i="5"/>
  <c r="D13" i="5"/>
  <c r="D9" i="5"/>
  <c r="D8" i="5"/>
  <c r="D7" i="5"/>
  <c r="D6" i="5"/>
  <c r="H13" i="5"/>
  <c r="H7" i="5"/>
  <c r="H6" i="5"/>
  <c r="H5" i="5"/>
  <c r="D10" i="5"/>
  <c r="H15" i="5"/>
  <c r="H14" i="5"/>
  <c r="K6" i="7" l="1"/>
  <c r="H6" i="7"/>
  <c r="E6" i="7"/>
  <c r="B6" i="7"/>
  <c r="H12" i="5" l="1"/>
  <c r="H11" i="5"/>
</calcChain>
</file>

<file path=xl/sharedStrings.xml><?xml version="1.0" encoding="utf-8"?>
<sst xmlns="http://schemas.openxmlformats.org/spreadsheetml/2006/main" count="6764" uniqueCount="674">
  <si>
    <t>OrderID</t>
  </si>
  <si>
    <t>Date</t>
  </si>
  <si>
    <t>Product</t>
  </si>
  <si>
    <t>Category</t>
  </si>
  <si>
    <t>Region</t>
  </si>
  <si>
    <t>City</t>
  </si>
  <si>
    <t>Salesperson</t>
  </si>
  <si>
    <t>CustomerType</t>
  </si>
  <si>
    <t>Quantity</t>
  </si>
  <si>
    <t>UnitPrice</t>
  </si>
  <si>
    <t>Revenue</t>
  </si>
  <si>
    <t>ORD0001</t>
  </si>
  <si>
    <t>2025-03-11</t>
  </si>
  <si>
    <t>Printer</t>
  </si>
  <si>
    <t>Electronics</t>
  </si>
  <si>
    <t>South</t>
  </si>
  <si>
    <t>Bangalore</t>
  </si>
  <si>
    <t>Rahul</t>
  </si>
  <si>
    <t>Wholesale</t>
  </si>
  <si>
    <t>ORD0002</t>
  </si>
  <si>
    <t>2025-03-08</t>
  </si>
  <si>
    <t>Office Desk</t>
  </si>
  <si>
    <t>Furniture</t>
  </si>
  <si>
    <t>Delhi</t>
  </si>
  <si>
    <t>Karan</t>
  </si>
  <si>
    <t>ORD0003</t>
  </si>
  <si>
    <t>2025-03-16</t>
  </si>
  <si>
    <t>Mouse</t>
  </si>
  <si>
    <t>Pune</t>
  </si>
  <si>
    <t>Retail</t>
  </si>
  <si>
    <t>ORD0004</t>
  </si>
  <si>
    <t>2025-03-18</t>
  </si>
  <si>
    <t>Pen Pack</t>
  </si>
  <si>
    <t>Stationery</t>
  </si>
  <si>
    <t>Mumbai</t>
  </si>
  <si>
    <t>Priya</t>
  </si>
  <si>
    <t>ORD0005</t>
  </si>
  <si>
    <t>2025-03-03</t>
  </si>
  <si>
    <t>Keyboard</t>
  </si>
  <si>
    <t>East</t>
  </si>
  <si>
    <t>Jaipur</t>
  </si>
  <si>
    <t>ORD0006</t>
  </si>
  <si>
    <t>2025-03-25</t>
  </si>
  <si>
    <t>Notebook</t>
  </si>
  <si>
    <t>North</t>
  </si>
  <si>
    <t>Sneha</t>
  </si>
  <si>
    <t>ORD0007</t>
  </si>
  <si>
    <t>Ahmedabad</t>
  </si>
  <si>
    <t>Riya</t>
  </si>
  <si>
    <t>ORD0008</t>
  </si>
  <si>
    <t>2025-03-09</t>
  </si>
  <si>
    <t>ORD0009</t>
  </si>
  <si>
    <t>2025-03-23</t>
  </si>
  <si>
    <t>ORD0010</t>
  </si>
  <si>
    <t>2025-03-24</t>
  </si>
  <si>
    <t>Laptop</t>
  </si>
  <si>
    <t>ORD0011</t>
  </si>
  <si>
    <t>2025-03-21</t>
  </si>
  <si>
    <t>Desk Chair</t>
  </si>
  <si>
    <t>ORD0012</t>
  </si>
  <si>
    <t>2025-03-06</t>
  </si>
  <si>
    <t>Monitor</t>
  </si>
  <si>
    <t>ORD0013</t>
  </si>
  <si>
    <t>West</t>
  </si>
  <si>
    <t>ORD0014</t>
  </si>
  <si>
    <t>2025-03-12</t>
  </si>
  <si>
    <t>Backpack</t>
  </si>
  <si>
    <t>Accessories</t>
  </si>
  <si>
    <t>ORD0015</t>
  </si>
  <si>
    <t>2025-03-07</t>
  </si>
  <si>
    <t>ORD0016</t>
  </si>
  <si>
    <t>2025-03-28</t>
  </si>
  <si>
    <t>ORD0017</t>
  </si>
  <si>
    <t>2025-03-10</t>
  </si>
  <si>
    <t>Amit</t>
  </si>
  <si>
    <t>ORD0018</t>
  </si>
  <si>
    <t>ORD0019</t>
  </si>
  <si>
    <t>2025-03-02</t>
  </si>
  <si>
    <t>ORD0020</t>
  </si>
  <si>
    <t>ORD0021</t>
  </si>
  <si>
    <t>ORD0022</t>
  </si>
  <si>
    <t>ORD0023</t>
  </si>
  <si>
    <t>ORD0024</t>
  </si>
  <si>
    <t>ORD0025</t>
  </si>
  <si>
    <t>2025-03-26</t>
  </si>
  <si>
    <t>ORD0026</t>
  </si>
  <si>
    <t>ORD0027</t>
  </si>
  <si>
    <t>ORD0028</t>
  </si>
  <si>
    <t>2025-03-19</t>
  </si>
  <si>
    <t>ORD0029</t>
  </si>
  <si>
    <t>2025-03-05</t>
  </si>
  <si>
    <t>ORD0030</t>
  </si>
  <si>
    <t>ORD0031</t>
  </si>
  <si>
    <t>ORD0032</t>
  </si>
  <si>
    <t>2025-03-22</t>
  </si>
  <si>
    <t>ORD0033</t>
  </si>
  <si>
    <t>ORD0034</t>
  </si>
  <si>
    <t>2025-03-01</t>
  </si>
  <si>
    <t>ORD0035</t>
  </si>
  <si>
    <t>ORD0036</t>
  </si>
  <si>
    <t>ORD0037</t>
  </si>
  <si>
    <t>ORD0038</t>
  </si>
  <si>
    <t>2025-03-17</t>
  </si>
  <si>
    <t>ORD0039</t>
  </si>
  <si>
    <t>ORD0040</t>
  </si>
  <si>
    <t>ORD0041</t>
  </si>
  <si>
    <t>ORD0042</t>
  </si>
  <si>
    <t>2025-03-20</t>
  </si>
  <si>
    <t>ORD0043</t>
  </si>
  <si>
    <t>ORD0044</t>
  </si>
  <si>
    <t>ORD0045</t>
  </si>
  <si>
    <t>2025-03-04</t>
  </si>
  <si>
    <t>ORD0046</t>
  </si>
  <si>
    <t>ORD0047</t>
  </si>
  <si>
    <t>ORD0048</t>
  </si>
  <si>
    <t>ORD0049</t>
  </si>
  <si>
    <t>ORD0050</t>
  </si>
  <si>
    <t>ORD0051</t>
  </si>
  <si>
    <t>2025-03-13</t>
  </si>
  <si>
    <t>ORD0052</t>
  </si>
  <si>
    <t>ORD0053</t>
  </si>
  <si>
    <t>ORD0054</t>
  </si>
  <si>
    <t>ORD0055</t>
  </si>
  <si>
    <t>ORD0056</t>
  </si>
  <si>
    <t>2025-03-27</t>
  </si>
  <si>
    <t>ORD0057</t>
  </si>
  <si>
    <t>ORD0058</t>
  </si>
  <si>
    <t>ORD0059</t>
  </si>
  <si>
    <t>2025-03-14</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</si>
  <si>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</si>
  <si>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</si>
  <si>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</si>
  <si>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</si>
  <si>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</si>
  <si>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</si>
  <si>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</si>
  <si>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</si>
  <si>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</si>
  <si>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</si>
  <si>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</si>
  <si>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</si>
  <si>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</si>
  <si>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</si>
  <si>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</si>
  <si>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</si>
  <si>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</si>
  <si>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</si>
  <si>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2025-03-15</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</si>
  <si>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</si>
  <si>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</si>
  <si>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</si>
  <si>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</si>
  <si>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</si>
  <si>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</si>
  <si>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</si>
  <si>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</si>
  <si>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</si>
  <si>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</si>
  <si>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</si>
  <si>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</si>
  <si>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</si>
  <si>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</si>
  <si>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</si>
  <si>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</si>
  <si>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</si>
  <si>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</si>
  <si>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</si>
  <si>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</si>
  <si>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</si>
  <si>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</si>
  <si>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</si>
  <si>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</si>
  <si>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</si>
  <si>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</si>
  <si>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</si>
  <si>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</si>
  <si>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</si>
  <si>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</si>
  <si>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</si>
  <si>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</si>
  <si>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</si>
  <si>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</si>
  <si>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</si>
  <si>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</si>
  <si>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</si>
  <si>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</si>
  <si>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</si>
  <si>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</si>
  <si>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</si>
  <si>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</si>
  <si>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</si>
  <si>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</si>
  <si>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</si>
  <si>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</si>
  <si>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</si>
  <si>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</si>
  <si>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</si>
  <si>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</si>
  <si>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</si>
  <si>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</si>
  <si>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</si>
  <si>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</si>
  <si>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</si>
  <si>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</si>
  <si>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</si>
  <si>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</si>
  <si>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</si>
  <si>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</si>
  <si>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</si>
  <si>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</si>
  <si>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</si>
  <si>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</si>
  <si>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</si>
  <si>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</si>
  <si>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</si>
  <si>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</si>
  <si>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</si>
  <si>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</si>
  <si>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</si>
  <si>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</si>
  <si>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</si>
  <si>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</si>
  <si>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</si>
  <si>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</si>
  <si>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</si>
  <si>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</si>
  <si>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</si>
  <si>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</si>
  <si>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</si>
  <si>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</si>
  <si>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</si>
  <si>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</si>
  <si>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</si>
  <si>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</si>
  <si>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</si>
  <si>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</si>
  <si>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</si>
  <si>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</si>
  <si>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</si>
  <si>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</si>
  <si>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</si>
  <si>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</si>
  <si>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</si>
  <si>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</si>
  <si>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</si>
  <si>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</si>
  <si>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</si>
  <si>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</si>
  <si>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</si>
  <si>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</si>
  <si>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</si>
  <si>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</si>
  <si>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</si>
  <si>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</si>
  <si>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</si>
  <si>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</si>
  <si>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</si>
  <si>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</si>
  <si>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</si>
  <si>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</si>
  <si>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</si>
  <si>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</si>
  <si>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</si>
  <si>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</si>
  <si>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</si>
  <si>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</si>
  <si>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</si>
  <si>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</si>
  <si>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</si>
  <si>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</si>
  <si>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</si>
  <si>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</si>
  <si>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</si>
  <si>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</si>
  <si>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</si>
  <si>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</si>
  <si>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</si>
  <si>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</si>
  <si>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</si>
  <si>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</si>
  <si>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</si>
  <si>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</si>
  <si>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</si>
  <si>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</si>
  <si>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</si>
  <si>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</si>
  <si>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</si>
  <si>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</si>
  <si>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</si>
  <si>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</si>
  <si>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</si>
  <si>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</si>
  <si>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</si>
  <si>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</si>
  <si>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</si>
  <si>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</si>
  <si>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</si>
  <si>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</si>
  <si>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</si>
  <si>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</si>
  <si>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</si>
  <si>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</si>
  <si>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</si>
  <si>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</si>
  <si>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</si>
  <si>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</si>
  <si>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</si>
  <si>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</si>
  <si>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</si>
  <si>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</si>
  <si>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</si>
  <si>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</si>
  <si>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</si>
  <si>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</si>
  <si>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</si>
  <si>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</si>
  <si>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</si>
  <si>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</si>
  <si>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</si>
  <si>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</si>
  <si>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</si>
  <si>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</si>
  <si>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</si>
  <si>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</si>
  <si>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</si>
  <si>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</si>
  <si>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</si>
  <si>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</si>
  <si>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</si>
  <si>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</si>
  <si>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</si>
  <si>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</si>
  <si>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</si>
  <si>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</si>
  <si>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</si>
  <si>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</si>
  <si>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</si>
  <si>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</si>
  <si>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</si>
  <si>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</si>
  <si>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</si>
  <si>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</si>
  <si>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</si>
  <si>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</si>
  <si>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</si>
  <si>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</si>
  <si>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</si>
  <si>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</si>
  <si>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</si>
  <si>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</si>
  <si>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</si>
  <si>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</si>
  <si>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</si>
  <si>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</si>
  <si>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</si>
  <si>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</si>
  <si>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</si>
  <si>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</si>
  <si>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</si>
  <si>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</si>
  <si>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</si>
  <si>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</si>
  <si>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</si>
  <si>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</si>
  <si>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</si>
  <si>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</si>
  <si>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</si>
  <si>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</si>
  <si>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</si>
  <si>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</si>
  <si>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</si>
  <si>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</si>
  <si>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</si>
  <si>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</si>
  <si>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</si>
  <si>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</si>
  <si>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</si>
  <si>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</si>
  <si>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</si>
  <si>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</si>
  <si>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</si>
  <si>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</si>
  <si>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</si>
  <si>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</si>
  <si>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</si>
  <si>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</si>
  <si>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</si>
  <si>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</si>
  <si>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</si>
  <si>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</si>
  <si>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</si>
  <si>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</si>
  <si>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</si>
  <si>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</si>
  <si>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</si>
  <si>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</si>
  <si>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</si>
  <si>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</si>
  <si>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</si>
  <si>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</si>
  <si>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</si>
  <si>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</si>
  <si>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</si>
  <si>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</si>
  <si>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</si>
  <si>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</si>
  <si>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</si>
  <si>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</si>
  <si>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</si>
  <si>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</si>
  <si>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</si>
  <si>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</si>
  <si>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</si>
  <si>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</si>
  <si>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</si>
  <si>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</si>
  <si>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</si>
  <si>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</si>
  <si>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</si>
  <si>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</si>
  <si>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</si>
  <si>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</si>
  <si>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</si>
  <si>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</si>
  <si>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</si>
  <si>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</si>
  <si>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</si>
  <si>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</si>
  <si>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</si>
  <si>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</si>
  <si>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</si>
  <si>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</si>
  <si>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</si>
  <si>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</si>
  <si>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</si>
  <si>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</si>
  <si>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</si>
  <si>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</si>
  <si>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</si>
  <si>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</si>
  <si>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</si>
  <si>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</si>
  <si>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</si>
  <si>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</si>
  <si>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</si>
  <si>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</si>
  <si>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</si>
  <si>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</si>
  <si>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</si>
  <si>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</si>
  <si>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</si>
  <si>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</si>
  <si>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</si>
  <si>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</si>
  <si>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</si>
  <si>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</si>
  <si>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</si>
  <si>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</si>
  <si>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</si>
  <si>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</si>
  <si>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</si>
  <si>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</si>
  <si>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</si>
  <si>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</si>
  <si>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</si>
  <si>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</si>
  <si>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</si>
  <si>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</si>
  <si>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</si>
  <si>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</si>
  <si>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</si>
  <si>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</si>
  <si>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</si>
  <si>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</si>
  <si>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</si>
  <si>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</si>
  <si>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</si>
  <si>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</si>
  <si>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</si>
  <si>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</si>
  <si>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</si>
  <si>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</si>
  <si>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</si>
  <si>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</si>
  <si>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</si>
  <si>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</si>
  <si>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</si>
  <si>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</si>
  <si>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</si>
  <si>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</si>
  <si>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</si>
  <si>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</si>
  <si>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</si>
  <si>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</si>
  <si>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</si>
  <si>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</si>
  <si>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</si>
  <si>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</si>
  <si>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</si>
  <si>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</si>
  <si>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</si>
  <si>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</si>
  <si>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</si>
  <si>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</si>
  <si>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</si>
  <si>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</si>
  <si>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</si>
  <si>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</si>
  <si>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</si>
  <si>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</si>
  <si>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</si>
  <si>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</si>
  <si>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</si>
  <si>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</si>
  <si>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</si>
  <si>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</si>
  <si>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</si>
  <si>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</si>
  <si>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</si>
  <si>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</si>
  <si>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</si>
  <si>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</si>
  <si>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</si>
  <si>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</si>
  <si>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</si>
  <si>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</si>
  <si>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</si>
  <si>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</si>
  <si>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</si>
  <si>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</si>
  <si>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</si>
  <si>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</si>
  <si>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</si>
  <si>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</si>
  <si>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</si>
  <si>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</si>
  <si>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</si>
  <si>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</si>
  <si>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</si>
  <si>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</si>
  <si>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</si>
  <si>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</si>
  <si>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</si>
  <si>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</si>
  <si>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</si>
  <si>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</si>
  <si>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</si>
  <si>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</si>
  <si>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</si>
  <si>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</si>
  <si>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</si>
  <si>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</si>
  <si>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</si>
  <si>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</si>
  <si>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</si>
  <si>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</si>
  <si>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</si>
  <si>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</si>
  <si>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</si>
  <si>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</si>
  <si>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</si>
  <si>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</si>
  <si>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</si>
  <si>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</si>
  <si>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</si>
  <si>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</si>
  <si>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</si>
  <si>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</si>
  <si>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</si>
  <si>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</si>
  <si>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</si>
  <si>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Revenue Category</t>
  </si>
  <si>
    <t>Quantity Category</t>
  </si>
  <si>
    <t>Revenue by Category</t>
  </si>
  <si>
    <t>Row Labels</t>
  </si>
  <si>
    <t>Grand Total</t>
  </si>
  <si>
    <t>Sum of Revenue</t>
  </si>
  <si>
    <t>Revenue by Region</t>
  </si>
  <si>
    <t>Product Performance</t>
  </si>
  <si>
    <t>Sum of Quantity</t>
  </si>
  <si>
    <t>Salesperson Performance</t>
  </si>
  <si>
    <t>Customer Type Analysis</t>
  </si>
  <si>
    <t>Average of Revenue</t>
  </si>
  <si>
    <t>Region + Category Analysis</t>
  </si>
  <si>
    <t>Column Labels</t>
  </si>
  <si>
    <t>Low</t>
  </si>
  <si>
    <t>Bulk</t>
  </si>
  <si>
    <t>Normal</t>
  </si>
  <si>
    <t>High</t>
  </si>
  <si>
    <t>City Analysis</t>
  </si>
  <si>
    <t>(All)</t>
  </si>
  <si>
    <t>Electronics generated the highest revenue (264,921.85), while Stationery generated the lowest.</t>
  </si>
  <si>
    <t>South region had the highest revenue, followed by West.</t>
  </si>
  <si>
    <t>Backpack had the highest quantity sold, while Monitor had lower sales.</t>
  </si>
  <si>
    <t>Riya generated the highest revenue, while Priya generated the lowest.</t>
  </si>
  <si>
    <t>Wholesale customers had higher average revenue than Retail customers.</t>
  </si>
  <si>
    <t>Delhi showed the highest average revenue among cities.</t>
  </si>
  <si>
    <t>Electronics performed best across all regions.</t>
  </si>
  <si>
    <t>Summarization</t>
  </si>
  <si>
    <t>Data Analysis</t>
  </si>
  <si>
    <t>IF Function</t>
  </si>
  <si>
    <t>Nested If</t>
  </si>
  <si>
    <t>Count ifs</t>
  </si>
  <si>
    <t>Vlookup</t>
  </si>
  <si>
    <t>Hlookup</t>
  </si>
  <si>
    <t>Total Revenue</t>
  </si>
  <si>
    <t>Total Orders</t>
  </si>
  <si>
    <t>Total Quantity Sold</t>
  </si>
  <si>
    <t>Top Salesperson</t>
  </si>
  <si>
    <t>Mean</t>
  </si>
  <si>
    <t>Standard Error</t>
  </si>
  <si>
    <t>Median</t>
  </si>
  <si>
    <t>Mode</t>
  </si>
  <si>
    <t>Standard Deviation</t>
  </si>
  <si>
    <t>Sample Variance</t>
  </si>
  <si>
    <t>Kurtosis</t>
  </si>
  <si>
    <t>Skewness</t>
  </si>
  <si>
    <t>Range</t>
  </si>
  <si>
    <t>Minimum</t>
  </si>
  <si>
    <t>Maximum</t>
  </si>
  <si>
    <t>Sum</t>
  </si>
  <si>
    <t>Count</t>
  </si>
  <si>
    <t xml:space="preserve">CHARTS </t>
  </si>
  <si>
    <t>Dashbord Analysis</t>
  </si>
  <si>
    <t>Satscical Formula</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</si>
  <si>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</si>
  <si>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</si>
  <si>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</si>
  <si>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</si>
  <si>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</si>
  <si>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</si>
  <si>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</si>
  <si>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</si>
  <si>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</si>
  <si>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</si>
  <si>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</si>
  <si>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</si>
  <si>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</si>
  <si>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</si>
  <si>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</si>
  <si>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</si>
  <si>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</si>
  <si>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</si>
  <si>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</si>
  <si>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</si>
  <si>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</si>
  <si>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</si>
  <si>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</si>
  <si>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Today's Date</t>
  </si>
  <si>
    <t>End of Current Month</t>
  </si>
  <si>
    <t>Current Timestamp</t>
  </si>
  <si>
    <t>Date And Time Functions</t>
  </si>
  <si>
    <t>LOOK UP Values</t>
  </si>
  <si>
    <t>math and index</t>
  </si>
  <si>
    <t>xlookup</t>
  </si>
  <si>
    <t>Xmatch</t>
  </si>
  <si>
    <t>If And</t>
  </si>
  <si>
    <t>If OR</t>
  </si>
  <si>
    <t>Ifs</t>
  </si>
  <si>
    <t>IF formulas</t>
  </si>
  <si>
    <t>COUNT Functions</t>
  </si>
  <si>
    <t>CountA</t>
  </si>
  <si>
    <t>TEXT Functions</t>
  </si>
  <si>
    <t xml:space="preserve">Left </t>
  </si>
  <si>
    <t>right</t>
  </si>
  <si>
    <t>mid</t>
  </si>
  <si>
    <t>length</t>
  </si>
  <si>
    <t>upper</t>
  </si>
  <si>
    <t>lower</t>
  </si>
  <si>
    <t>Average</t>
  </si>
  <si>
    <t>Max</t>
  </si>
  <si>
    <t>Min</t>
  </si>
  <si>
    <t>Statistic funtions</t>
  </si>
  <si>
    <t>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</si>
</sst>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00"/>
  </numFmts>
  <fonts count="13" x14ac:knownFonts="1">
    <font>
      <sz val="11"/>
      <color theme="1"/>
      <name val="Calibri"/>
      <family val="2"/>
      <scheme val="minor"/>
    </font>
    <font>
      <sz val="11"/>
      <color theme="0"/>
      <name val="Calibri"/>
      <family val="2"/>
      <scheme val="minor"/>
    </font>
    <font>
      <b/>
      <sz val="13.5"/>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b/>
      <sz val="20"/>
      <color theme="0"/>
      <name val="Calibri"/>
      <family val="2"/>
      <scheme val="minor"/>
    </font>
    <font>
      <b/>
      <sz val="18"/>
      <color theme="0"/>
      <name val="Calibri"/>
      <family val="2"/>
      <scheme val="minor"/>
    </font>
    <font>
      <b/>
      <sz val="11"/>
      <color theme="0"/>
      <name val="Calibri"/>
      <family val="2"/>
      <scheme val="minor"/>
    </font>
    <font>
      <b/>
      <sz val="12"/>
      <color theme="1"/>
      <name val="Calibri"/>
      <family val="2"/>
      <scheme val="minor"/>
    </font>
    <font>
      <b/>
      <sz val="18"/>
      <color theme="1"/>
      <name val="Calibri"/>
      <family val="2"/>
      <scheme val="minor"/>
    </font>
    <font>
      <i/>
      <sz val="11"/>
      <color theme="1"/>
      <name val="Calibri"/>
      <family val="2"/>
      <scheme val="minor"/>
    </font>
    <font>
      <i/>
      <sz val="11"/>
      <color theme="0"/>
      <name val="Calibri"/>
      <family val="2"/>
      <scheme val="minor"/>
    </font>
  </fonts>
  <fills count="13">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249977111117893"/>
        <bgColor indexed="64"/>
      </patternFill>
    </fill>
    <fill>
      <patternFill patternType="solid">
        <fgColor theme="2" tint="-9.9978637043366805E-2"/>
        <bgColor indexed="64"/>
      </patternFill>
    </fill>
    <fill>
      <patternFill patternType="solid">
        <fgColor theme="0"/>
        <bgColor theme="4" tint="0.79998168889431442"/>
      </patternFill>
    </fill>
  </fills>
  <borders count="3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theme="0"/>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theme="0"/>
      </left>
      <right style="thin">
        <color theme="0"/>
      </right>
      <top style="thin">
        <color theme="0"/>
      </top>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47">
    <xf numFmtId="0" fontId="0" fillId="0" borderId="0" xfId="0"/>
    <xf numFmtId="0" fontId="4" fillId="0" borderId="0" xfId="0" applyFont="1"/>
    <xf numFmtId="0" fontId="2" fillId="4" borderId="4" xfId="0" applyFont="1" applyFill="1" applyBorder="1" applyAlignment="1">
      <alignment vertical="center"/>
    </xf>
    <xf numFmtId="0" fontId="0" fillId="4" borderId="5" xfId="0" applyFill="1" applyBorder="1"/>
    <xf numFmtId="0" fontId="0" fillId="0" borderId="5" xfId="0" applyBorder="1"/>
    <xf numFmtId="0" fontId="0" fillId="0" borderId="6" xfId="0" applyBorder="1"/>
    <xf numFmtId="0" fontId="3" fillId="0" borderId="9" xfId="0" applyFont="1" applyBorder="1" applyAlignment="1">
      <alignment horizontal="left" vertical="center" indent="1"/>
    </xf>
    <xf numFmtId="0" fontId="3" fillId="0" borderId="10" xfId="0" applyFont="1" applyBorder="1"/>
    <xf numFmtId="0" fontId="0" fillId="0" borderId="11" xfId="0" applyBorder="1"/>
    <xf numFmtId="0" fontId="0" fillId="0" borderId="7" xfId="0" applyBorder="1" applyAlignment="1">
      <alignment horizontal="left" vertical="center" indent="1"/>
    </xf>
    <xf numFmtId="0" fontId="0" fillId="0" borderId="0" xfId="0" applyBorder="1"/>
    <xf numFmtId="0" fontId="0" fillId="0" borderId="8" xfId="0" applyBorder="1"/>
    <xf numFmtId="0" fontId="0" fillId="0" borderId="9" xfId="0" applyBorder="1" applyAlignment="1">
      <alignment horizontal="left" vertical="center" indent="1"/>
    </xf>
    <xf numFmtId="0" fontId="0" fillId="0" borderId="10" xfId="0" applyBorder="1"/>
    <xf numFmtId="0" fontId="5" fillId="4" borderId="4" xfId="0" applyFont="1" applyFill="1" applyBorder="1" applyAlignment="1">
      <alignment vertical="center"/>
    </xf>
    <xf numFmtId="0" fontId="4" fillId="4" borderId="5" xfId="0" applyFont="1" applyFill="1" applyBorder="1"/>
    <xf numFmtId="0" fontId="4" fillId="0" borderId="5" xfId="0" applyFont="1" applyBorder="1"/>
    <xf numFmtId="0" fontId="4" fillId="0" borderId="7" xfId="0" applyFont="1" applyBorder="1" applyAlignment="1">
      <alignment horizontal="left" vertical="center" indent="1"/>
    </xf>
    <xf numFmtId="0" fontId="4" fillId="0" borderId="0" xfId="0" applyFont="1" applyBorder="1"/>
    <xf numFmtId="0" fontId="4" fillId="0" borderId="9" xfId="0" applyFont="1" applyBorder="1" applyAlignment="1">
      <alignment horizontal="left" vertical="center" indent="1"/>
    </xf>
    <xf numFmtId="0" fontId="4" fillId="0" borderId="10" xfId="0" applyFont="1" applyBorder="1"/>
    <xf numFmtId="0" fontId="2" fillId="4" borderId="7" xfId="0" applyFont="1" applyFill="1" applyBorder="1" applyAlignment="1">
      <alignment vertical="center"/>
    </xf>
    <xf numFmtId="0" fontId="0" fillId="4" borderId="0" xfId="0" applyFill="1" applyBorder="1"/>
    <xf numFmtId="0" fontId="0" fillId="0" borderId="4" xfId="0" applyBorder="1"/>
    <xf numFmtId="0" fontId="0" fillId="0" borderId="0" xfId="0" applyBorder="1" applyAlignment="1"/>
    <xf numFmtId="0" fontId="0" fillId="0" borderId="0" xfId="0" pivotButton="1" applyBorder="1"/>
    <xf numFmtId="0" fontId="0" fillId="0" borderId="7" xfId="0" applyBorder="1" applyAlignment="1">
      <alignment horizontal="left"/>
    </xf>
    <xf numFmtId="0" fontId="0" fillId="0" borderId="0" xfId="0" applyNumberFormat="1" applyBorder="1"/>
    <xf numFmtId="0" fontId="0" fillId="0" borderId="0" xfId="0" applyBorder="1" applyAlignment="1">
      <alignment horizontal="left"/>
    </xf>
    <xf numFmtId="2" fontId="0" fillId="0" borderId="0" xfId="0" applyNumberFormat="1" applyBorder="1"/>
    <xf numFmtId="0" fontId="0" fillId="0" borderId="7" xfId="0" applyBorder="1"/>
    <xf numFmtId="2" fontId="0" fillId="0" borderId="8" xfId="0" applyNumberFormat="1" applyBorder="1"/>
    <xf numFmtId="0" fontId="0" fillId="0" borderId="8" xfId="0" applyNumberFormat="1" applyBorder="1"/>
    <xf numFmtId="1" fontId="0" fillId="0" borderId="0" xfId="0" applyNumberFormat="1" applyBorder="1"/>
    <xf numFmtId="0" fontId="0" fillId="0" borderId="9" xfId="0" applyBorder="1"/>
    <xf numFmtId="0" fontId="0" fillId="0" borderId="7" xfId="0" applyBorder="1" applyAlignment="1">
      <alignment horizontal="center" vertical="center"/>
    </xf>
    <xf numFmtId="0" fontId="0" fillId="0" borderId="0" xfId="0" applyBorder="1" applyAlignment="1">
      <alignment horizontal="center" vertical="center"/>
    </xf>
    <xf numFmtId="0" fontId="0" fillId="0" borderId="8" xfId="0" applyBorder="1" applyAlignment="1">
      <alignment horizontal="center" vertical="center"/>
    </xf>
    <xf numFmtId="0" fontId="6" fillId="5" borderId="0" xfId="0" applyFont="1" applyFill="1" applyAlignment="1">
      <alignment horizontal="center"/>
    </xf>
    <xf numFmtId="0" fontId="1" fillId="5" borderId="0" xfId="0" applyFont="1" applyFill="1" applyAlignment="1">
      <alignment horizontal="center"/>
    </xf>
    <xf numFmtId="0" fontId="1" fillId="5" borderId="10" xfId="0" applyFont="1" applyFill="1" applyBorder="1" applyAlignment="1">
      <alignment horizontal="center"/>
    </xf>
    <xf numFmtId="0" fontId="7" fillId="5" borderId="4" xfId="0" applyFont="1" applyFill="1" applyBorder="1" applyAlignment="1">
      <alignment horizontal="center"/>
    </xf>
    <xf numFmtId="0" fontId="7" fillId="5" borderId="5" xfId="0" applyFont="1" applyFill="1" applyBorder="1" applyAlignment="1">
      <alignment horizontal="center"/>
    </xf>
    <xf numFmtId="0" fontId="7" fillId="5" borderId="7" xfId="0" applyFont="1" applyFill="1" applyBorder="1" applyAlignment="1">
      <alignment horizontal="center"/>
    </xf>
    <xf numFmtId="0" fontId="7" fillId="5" borderId="0" xfId="0" applyFont="1" applyFill="1" applyBorder="1" applyAlignment="1">
      <alignment horizontal="center"/>
    </xf>
    <xf numFmtId="0" fontId="0" fillId="3" borderId="1" xfId="0" applyFill="1" applyBorder="1" applyAlignment="1">
      <alignment horizontal="center"/>
    </xf>
    <xf numFmtId="0" fontId="0" fillId="3" borderId="3" xfId="0" applyFill="1" applyBorder="1" applyAlignment="1">
      <alignment horizontal="center"/>
    </xf>
    <xf numFmtId="0" fontId="0" fillId="3" borderId="2" xfId="0" applyFill="1" applyBorder="1" applyAlignment="1">
      <alignment horizontal="center"/>
    </xf>
    <xf numFmtId="0" fontId="0" fillId="0" borderId="0"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0" xfId="0" applyAlignment="1">
      <alignment horizontal="left"/>
    </xf>
    <xf numFmtId="0" fontId="0" fillId="0" borderId="9" xfId="0" applyBorder="1" applyAlignment="1">
      <alignment horizontal="left"/>
    </xf>
    <xf numFmtId="0" fontId="0" fillId="0" borderId="14" xfId="0" applyNumberFormat="1" applyBorder="1"/>
    <xf numFmtId="0" fontId="0" fillId="0" borderId="15" xfId="0" applyNumberFormat="1" applyBorder="1"/>
    <xf numFmtId="0" fontId="0" fillId="0" borderId="16" xfId="0" applyNumberFormat="1" applyBorder="1"/>
    <xf numFmtId="0" fontId="0" fillId="0" borderId="13" xfId="0" pivotButton="1" applyBorder="1"/>
    <xf numFmtId="0" fontId="0" fillId="0" borderId="13" xfId="0" applyBorder="1"/>
    <xf numFmtId="0" fontId="0" fillId="0" borderId="14" xfId="0" applyBorder="1" applyAlignment="1">
      <alignment horizontal="left"/>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xf>
    <xf numFmtId="0" fontId="0" fillId="0" borderId="5" xfId="0" applyFill="1" applyBorder="1" applyAlignment="1"/>
    <xf numFmtId="0" fontId="0" fillId="0" borderId="0" xfId="0" applyFill="1" applyBorder="1" applyAlignment="1"/>
    <xf numFmtId="0" fontId="0" fillId="0" borderId="10" xfId="0" applyFill="1" applyBorder="1" applyAlignment="1"/>
    <xf numFmtId="0" fontId="10" fillId="3" borderId="4" xfId="0" applyFont="1" applyFill="1" applyBorder="1" applyAlignment="1">
      <alignment horizontal="center" vertical="center"/>
    </xf>
    <xf numFmtId="0" fontId="6" fillId="10" borderId="4" xfId="0" applyFont="1" applyFill="1" applyBorder="1" applyAlignment="1">
      <alignment horizontal="center"/>
    </xf>
    <xf numFmtId="0" fontId="6" fillId="10" borderId="5" xfId="0" applyFont="1" applyFill="1" applyBorder="1" applyAlignment="1">
      <alignment horizontal="center"/>
    </xf>
    <xf numFmtId="0" fontId="6" fillId="10" borderId="6" xfId="0" applyFont="1" applyFill="1" applyBorder="1" applyAlignment="1">
      <alignment horizontal="center"/>
    </xf>
    <xf numFmtId="0" fontId="5" fillId="6" borderId="4" xfId="0" applyFont="1" applyFill="1" applyBorder="1" applyAlignment="1">
      <alignment horizontal="center"/>
    </xf>
    <xf numFmtId="0" fontId="5" fillId="6" borderId="6" xfId="0" applyFont="1" applyFill="1" applyBorder="1" applyAlignment="1">
      <alignment horizontal="center"/>
    </xf>
    <xf numFmtId="0" fontId="5" fillId="6" borderId="7" xfId="0" applyFont="1" applyFill="1" applyBorder="1" applyAlignment="1">
      <alignment horizontal="center"/>
    </xf>
    <xf numFmtId="0" fontId="5" fillId="6" borderId="8" xfId="0" applyFont="1" applyFill="1" applyBorder="1" applyAlignment="1">
      <alignment horizontal="center"/>
    </xf>
    <xf numFmtId="0" fontId="5" fillId="6" borderId="9" xfId="0" applyFont="1" applyFill="1" applyBorder="1" applyAlignment="1">
      <alignment horizontal="center"/>
    </xf>
    <xf numFmtId="0" fontId="5" fillId="6" borderId="11" xfId="0" applyFont="1" applyFill="1" applyBorder="1" applyAlignment="1">
      <alignment horizontal="center"/>
    </xf>
    <xf numFmtId="0" fontId="5" fillId="7" borderId="4" xfId="0" applyFont="1" applyFill="1" applyBorder="1" applyAlignment="1">
      <alignment horizontal="center"/>
    </xf>
    <xf numFmtId="0" fontId="5" fillId="7" borderId="6" xfId="0" applyFont="1" applyFill="1" applyBorder="1" applyAlignment="1">
      <alignment horizontal="center"/>
    </xf>
    <xf numFmtId="0" fontId="5" fillId="7" borderId="7" xfId="0" applyFont="1" applyFill="1" applyBorder="1" applyAlignment="1">
      <alignment horizontal="center"/>
    </xf>
    <xf numFmtId="0" fontId="5" fillId="7" borderId="8" xfId="0" applyFont="1" applyFill="1" applyBorder="1" applyAlignment="1">
      <alignment horizontal="center"/>
    </xf>
    <xf numFmtId="0" fontId="5" fillId="7" borderId="9" xfId="0" applyFont="1" applyFill="1" applyBorder="1" applyAlignment="1">
      <alignment horizontal="center"/>
    </xf>
    <xf numFmtId="0" fontId="5" fillId="7" borderId="11" xfId="0" applyFont="1" applyFill="1" applyBorder="1" applyAlignment="1">
      <alignment horizontal="center"/>
    </xf>
    <xf numFmtId="0" fontId="9" fillId="8" borderId="7" xfId="0" applyFont="1" applyFill="1" applyBorder="1" applyAlignment="1">
      <alignment horizontal="center"/>
    </xf>
    <xf numFmtId="0" fontId="9" fillId="8" borderId="8" xfId="0" applyFont="1" applyFill="1" applyBorder="1" applyAlignment="1">
      <alignment horizontal="center"/>
    </xf>
    <xf numFmtId="0" fontId="9" fillId="8" borderId="9" xfId="0" applyFont="1" applyFill="1" applyBorder="1" applyAlignment="1">
      <alignment horizontal="center"/>
    </xf>
    <xf numFmtId="0" fontId="9" fillId="8" borderId="11" xfId="0" applyFont="1" applyFill="1" applyBorder="1" applyAlignment="1">
      <alignment horizontal="center"/>
    </xf>
    <xf numFmtId="0" fontId="9" fillId="8" borderId="4" xfId="0" applyFont="1" applyFill="1" applyBorder="1" applyAlignment="1">
      <alignment horizontal="center" wrapText="1"/>
    </xf>
    <xf numFmtId="0" fontId="9" fillId="8" borderId="6" xfId="0" applyFont="1" applyFill="1" applyBorder="1" applyAlignment="1">
      <alignment horizontal="center" wrapText="1"/>
    </xf>
    <xf numFmtId="0" fontId="9" fillId="8" borderId="7" xfId="0" applyFont="1" applyFill="1" applyBorder="1" applyAlignment="1">
      <alignment horizontal="center" wrapText="1"/>
    </xf>
    <xf numFmtId="0" fontId="9" fillId="8" borderId="8" xfId="0" applyFont="1" applyFill="1" applyBorder="1" applyAlignment="1">
      <alignment horizontal="center" wrapText="1"/>
    </xf>
    <xf numFmtId="0" fontId="9" fillId="9" borderId="4" xfId="0" applyFont="1" applyFill="1" applyBorder="1" applyAlignment="1">
      <alignment horizontal="center"/>
    </xf>
    <xf numFmtId="0" fontId="9" fillId="9" borderId="6" xfId="0" applyFont="1" applyFill="1" applyBorder="1" applyAlignment="1">
      <alignment horizontal="center"/>
    </xf>
    <xf numFmtId="0" fontId="9" fillId="9" borderId="7" xfId="0" applyFont="1" applyFill="1" applyBorder="1" applyAlignment="1">
      <alignment horizontal="center"/>
    </xf>
    <xf numFmtId="0" fontId="9" fillId="9" borderId="8" xfId="0" applyFont="1" applyFill="1" applyBorder="1" applyAlignment="1">
      <alignment horizontal="center"/>
    </xf>
    <xf numFmtId="0" fontId="9" fillId="9" borderId="9" xfId="0" applyFont="1" applyFill="1" applyBorder="1" applyAlignment="1">
      <alignment horizontal="center"/>
    </xf>
    <xf numFmtId="0" fontId="9" fillId="9" borderId="11" xfId="0" applyFont="1" applyFill="1" applyBorder="1" applyAlignment="1">
      <alignment horizontal="center"/>
    </xf>
    <xf numFmtId="0" fontId="6" fillId="10" borderId="9" xfId="0" applyFont="1" applyFill="1" applyBorder="1" applyAlignment="1">
      <alignment horizontal="center"/>
    </xf>
    <xf numFmtId="0" fontId="6" fillId="10" borderId="10" xfId="0" applyFont="1" applyFill="1" applyBorder="1" applyAlignment="1">
      <alignment horizontal="center"/>
    </xf>
    <xf numFmtId="0" fontId="6" fillId="10" borderId="11" xfId="0" applyFont="1" applyFill="1" applyBorder="1" applyAlignment="1">
      <alignment horizontal="center"/>
    </xf>
    <xf numFmtId="0" fontId="0" fillId="0" borderId="7" xfId="0" applyFill="1" applyBorder="1" applyAlignment="1"/>
    <xf numFmtId="0" fontId="0" fillId="0" borderId="8" xfId="0" applyFill="1" applyBorder="1" applyAlignment="1"/>
    <xf numFmtId="0" fontId="0" fillId="0" borderId="9" xfId="0" applyFill="1" applyBorder="1" applyAlignment="1"/>
    <xf numFmtId="0" fontId="0" fillId="0" borderId="11" xfId="0" applyFill="1" applyBorder="1" applyAlignment="1"/>
    <xf numFmtId="0" fontId="12" fillId="10" borderId="21" xfId="0" applyFont="1" applyFill="1" applyBorder="1" applyAlignment="1">
      <alignment horizontal="center"/>
    </xf>
    <xf numFmtId="0" fontId="0" fillId="0" borderId="21" xfId="0" applyFill="1" applyBorder="1" applyAlignment="1"/>
    <xf numFmtId="0" fontId="10" fillId="3" borderId="0"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10" fillId="3" borderId="5"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7" xfId="0" applyFont="1" applyFill="1" applyBorder="1" applyAlignment="1">
      <alignment horizontal="center" vertical="center"/>
    </xf>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10" xfId="0" applyFont="1" applyFill="1" applyBorder="1" applyAlignment="1">
      <alignment horizontal="center" vertical="center"/>
    </xf>
    <xf numFmtId="0" fontId="10" fillId="3" borderId="11" xfId="0" applyFont="1" applyFill="1" applyBorder="1" applyAlignment="1">
      <alignment horizontal="center" vertical="center"/>
    </xf>
    <xf numFmtId="0" fontId="8" fillId="10" borderId="4" xfId="0" applyFont="1" applyFill="1" applyBorder="1" applyAlignment="1">
      <alignment horizontal="center"/>
    </xf>
    <xf numFmtId="0" fontId="8" fillId="10" borderId="5" xfId="0" applyFont="1" applyFill="1" applyBorder="1" applyAlignment="1">
      <alignment horizontal="center"/>
    </xf>
    <xf numFmtId="0" fontId="8" fillId="10" borderId="6" xfId="0" applyFont="1" applyFill="1" applyBorder="1" applyAlignment="1">
      <alignment horizontal="center"/>
    </xf>
    <xf numFmtId="0" fontId="0" fillId="0" borderId="4" xfId="0" applyFill="1" applyBorder="1" applyAlignment="1"/>
    <xf numFmtId="0" fontId="0" fillId="0" borderId="6" xfId="0" applyFill="1" applyBorder="1" applyAlignment="1"/>
    <xf numFmtId="0" fontId="11" fillId="11" borderId="19" xfId="0" applyFont="1" applyFill="1" applyBorder="1" applyAlignment="1">
      <alignment horizontal="centerContinuous"/>
    </xf>
    <xf numFmtId="0" fontId="11" fillId="11" borderId="20" xfId="0" applyFont="1" applyFill="1" applyBorder="1" applyAlignment="1">
      <alignment horizontal="centerContinuous"/>
    </xf>
    <xf numFmtId="0" fontId="11" fillId="11" borderId="19" xfId="0" applyFont="1" applyFill="1" applyBorder="1" applyAlignment="1">
      <alignment horizontal="center"/>
    </xf>
    <xf numFmtId="0" fontId="11" fillId="11" borderId="18" xfId="0" applyFont="1" applyFill="1" applyBorder="1" applyAlignment="1">
      <alignment horizontal="center"/>
    </xf>
    <xf numFmtId="0" fontId="11" fillId="11" borderId="20" xfId="0" applyFont="1" applyFill="1" applyBorder="1" applyAlignment="1">
      <alignment horizontal="center"/>
    </xf>
    <xf numFmtId="0" fontId="11" fillId="11" borderId="1" xfId="0" applyFont="1" applyFill="1" applyBorder="1" applyAlignment="1">
      <alignment horizontal="center"/>
    </xf>
    <xf numFmtId="0" fontId="11" fillId="11" borderId="3" xfId="0" applyFont="1" applyFill="1" applyBorder="1" applyAlignment="1">
      <alignment horizontal="center"/>
    </xf>
    <xf numFmtId="0" fontId="11" fillId="11" borderId="2" xfId="0" applyFont="1" applyFill="1" applyBorder="1" applyAlignment="1">
      <alignment horizontal="center"/>
    </xf>
    <xf numFmtId="0" fontId="0" fillId="0" borderId="21" xfId="0" applyBorder="1" applyAlignment="1">
      <alignment horizontal="left"/>
    </xf>
    <xf numFmtId="0" fontId="0" fillId="2" borderId="17" xfId="0" applyFont="1" applyFill="1" applyBorder="1" applyAlignment="1">
      <alignment horizontal="left"/>
    </xf>
    <xf numFmtId="0" fontId="0" fillId="11" borderId="21" xfId="0" applyFill="1" applyBorder="1" applyAlignment="1">
      <alignment horizontal="left"/>
    </xf>
    <xf numFmtId="0" fontId="0" fillId="0" borderId="21" xfId="0" applyBorder="1" applyAlignment="1">
      <alignment horizontal="left" vertical="center"/>
    </xf>
    <xf numFmtId="14" fontId="0" fillId="0" borderId="21" xfId="0" applyNumberFormat="1" applyBorder="1" applyAlignment="1">
      <alignment horizontal="left"/>
    </xf>
    <xf numFmtId="0" fontId="0" fillId="0" borderId="21" xfId="0" applyBorder="1" applyAlignment="1">
      <alignment horizontal="left"/>
    </xf>
    <xf numFmtId="22" fontId="0" fillId="0" borderId="21" xfId="0" applyNumberFormat="1" applyBorder="1" applyAlignment="1">
      <alignment horizontal="left"/>
    </xf>
    <xf numFmtId="0" fontId="0" fillId="12" borderId="12" xfId="0" applyFont="1" applyFill="1" applyBorder="1" applyAlignment="1">
      <alignment horizontal="left"/>
    </xf>
    <xf numFmtId="0" fontId="0" fillId="2" borderId="21" xfId="0" applyFont="1" applyFill="1" applyBorder="1" applyAlignment="1">
      <alignment horizontal="left"/>
    </xf>
    <xf numFmtId="0" fontId="0" fillId="0" borderId="21" xfId="0" applyBorder="1" applyAlignment="1">
      <alignment horizontal="left" wrapText="1"/>
    </xf>
    <xf numFmtId="0" fontId="7" fillId="10" borderId="27" xfId="0" applyFont="1" applyFill="1" applyBorder="1" applyAlignment="1">
      <alignment horizontal="center" vertical="center"/>
    </xf>
    <xf numFmtId="0" fontId="7" fillId="10" borderId="28" xfId="0" applyFont="1" applyFill="1" applyBorder="1" applyAlignment="1">
      <alignment horizontal="center" vertical="center"/>
    </xf>
    <xf numFmtId="0" fontId="7" fillId="10" borderId="29" xfId="0" applyFont="1" applyFill="1" applyBorder="1" applyAlignment="1">
      <alignment horizontal="center" vertical="center"/>
    </xf>
    <xf numFmtId="0" fontId="7" fillId="10" borderId="30" xfId="0" applyFont="1" applyFill="1" applyBorder="1" applyAlignment="1">
      <alignment horizontal="center" vertical="center"/>
    </xf>
    <xf numFmtId="0" fontId="7" fillId="10" borderId="31" xfId="0" applyFont="1" applyFill="1" applyBorder="1" applyAlignment="1">
      <alignment horizontal="center" vertical="center"/>
    </xf>
    <xf numFmtId="0" fontId="7" fillId="10" borderId="32" xfId="0" applyFont="1" applyFill="1" applyBorder="1" applyAlignment="1">
      <alignment horizontal="center" vertical="center"/>
    </xf>
    <xf numFmtId="0" fontId="0" fillId="0" borderId="10" xfId="0" applyBorder="1" applyAlignment="1">
      <alignment horizontal="left"/>
    </xf>
  </cellXfs>
  <cellStyles count="1">
    <cellStyle name="Normal" xfId="0" builtinId="0"/>
  </cellStyles>
  <dxfs count="74">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65" formatCode="0.000"/>
    </dxf>
    <dxf>
      <numFmt numFmtId="166" formatCode="0.0000"/>
    </dxf>
    <dxf>
      <numFmt numFmtId="167" formatCode="0.00000"/>
    </dxf>
    <dxf>
      <numFmt numFmtId="168" formatCode="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9" formatCode="0.0"/>
    </dxf>
    <dxf>
      <numFmt numFmtId="2" formatCode="0.00"/>
    </dxf>
    <dxf>
      <numFmt numFmtId="165" formatCode="0.000"/>
    </dxf>
    <dxf>
      <numFmt numFmtId="166" formatCode="0.0000"/>
    </dxf>
    <dxf>
      <numFmt numFmtId="167" formatCode="0.00000"/>
    </dxf>
    <dxf>
      <numFmt numFmtId="168" formatCode="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69" formatCode="0.0"/>
    </dxf>
    <dxf>
      <numFmt numFmtId="2" formatCode="0.00"/>
    </dxf>
    <dxf>
      <numFmt numFmtId="165" formatCode="0.000"/>
    </dxf>
    <dxf>
      <numFmt numFmtId="166" formatCode="0.0000"/>
    </dxf>
    <dxf>
      <numFmt numFmtId="167" formatCode="0.00000"/>
    </dxf>
    <dxf>
      <numFmt numFmtId="168" formatCode="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[Zinsa_ExcelDashbord.xlsx]Data Summarization!PivotTable5</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layout>
        <c:manualLayout>
          <c:xMode val="edge"/>
          <c:yMode val="edge"/>
          <c:x val="0.55847222222222226"/>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'Data Summarization'!$B$6</c:f>
              <c:strCache>
                <c:ptCount val="1"/>
                <c:pt idx="0">
                  <c:v>Total</c:v>
                </c:pt>
              </c:strCache>
            </c:strRef>
          </c:tx>
          <c:spPr>
            <a:solidFill>
              <a:schemeClr val="accent1"/>
            </a:solidFill>
            <a:ln>
              <a:noFill/>
            </a:ln>
            <a:effectLst/>
          </c:spPr>
          <c:invertIfNegative val="0"/>
          <c:cat>
            <c:strRef>
              <c:f>'Data Summarization'!$A$7:$A$11</c:f>
              <c:strCache>
                <c:ptCount val="4"/>
                <c:pt idx="0">
                  <c:v>Accessories</c:v>
                </c:pt>
                <c:pt idx="1">
                  <c:v>Electronics</c:v>
                </c:pt>
                <c:pt idx="2">
                  <c:v>Furniture</c:v>
                </c:pt>
                <c:pt idx="3">
                  <c:v>Stationery</c:v>
                </c:pt>
              </c:strCache>
            </c:strRef>
          </c:cat>
          <c:val>
            <c:numRef>
              <c:f>'Data Summarization'!$B$7:$B$11</c:f>
              <c:numCache>
                <c:formatCode>General</c:formatCode>
                <c:ptCount val="4"/>
                <c:pt idx="0">
                  <c:v>13455.11</c:v>
                </c:pt>
                <c:pt idx="1">
                  <c:v>264921.85000000003</c:v>
                </c:pt>
                <c:pt idx="2">
                  <c:v>110047.34000000003</c:v>
                </c:pt>
                <c:pt idx="3">
                  <c:v>2287.77</c:v>
                </c:pt>
              </c:numCache>
            </c:numRef>
          </c:val>
          <c:extLst>
            <c:ext xmlns:c16="http://schemas.microsoft.com/office/drawing/2014/chart" uri="{C3380CC4-5D6E-409C-BE32-E72D297353CC}">
              <c16:uniqueId val="{00000000-32FD-48C4-B1AF-CCFD14B25FB7}"/>
            </c:ext>
          </c:extLst>
        </c:ser>
        <c:dLbls>
          <c:showLegendKey val="0"/>
          <c:showVal val="0"/>
          <c:showCatName val="0"/>
          <c:showSerName val="0"/>
          <c:showPercent val="0"/>
          <c:showBubbleSize val="0"/>
        </c:dLbls>
        <c:gapWidth val="182"/>
        <c:axId val="267603408"/>
        <c:axId val="267603824"/>
      </c:barChart>
      <c:catAx>
        <c:axId val="267603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03824"/>
        <c:crosses val="autoZero"/>
        <c:auto val="1"/>
        <c:lblAlgn val="ctr"/>
        <c:lblOffset val="100"/>
        <c:noMultiLvlLbl val="0"/>
      </c:catAx>
      <c:valAx>
        <c:axId val="267603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03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[Zinsa_ExcelDashbord.xlsx]Data Summarization!PivotTable6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layout>
        <c:manualLayout>
          <c:xMode val="edge"/>
          <c:yMode val="edge"/>
          <c:x val="0.478611111111111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'Data Summarization'!$E$6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06-4523-8676-EDC334A517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06-4523-8676-EDC334A517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06-4523-8676-EDC334A517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06-4523-8676-EDC334A5179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'Data Summarization'!$D$7:$D$11</c:f>
              <c:strCache>
                <c:ptCount val="4"/>
                <c:pt idx="0">
                  <c:v>East</c:v>
                </c:pt>
                <c:pt idx="1">
                  <c:v>North</c:v>
                </c:pt>
                <c:pt idx="2">
                  <c:v>South</c:v>
                </c:pt>
                <c:pt idx="3">
                  <c:v>West</c:v>
                </c:pt>
              </c:strCache>
            </c:strRef>
          </c:cat>
          <c:val>
            <c:numRef>
              <c:f>'Data Summarization'!$E$7:$E$11</c:f>
              <c:numCache>
                <c:formatCode>General</c:formatCode>
                <c:ptCount val="4"/>
                <c:pt idx="0">
                  <c:v>89967.21</c:v>
                </c:pt>
                <c:pt idx="1">
                  <c:v>69055.609999999986</c:v>
                </c:pt>
                <c:pt idx="2">
                  <c:v>123709.83</c:v>
                </c:pt>
                <c:pt idx="3">
                  <c:v>107979.42000000003</c:v>
                </c:pt>
              </c:numCache>
            </c:numRef>
          </c:val>
          <c:extLst>
            <c:ext xmlns:c16="http://schemas.microsoft.com/office/drawing/2014/chart" uri="{C3380CC4-5D6E-409C-BE32-E72D297353CC}">
              <c16:uniqueId val="{00000008-BD06-4523-8676-EDC334A5179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[Zinsa_ExcelDashbord.xlsx]Data Summarization!PivotTable7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 Performance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'Data Summarization'!$H$6</c:f>
              <c:strCache>
                <c:ptCount val="1"/>
                <c:pt idx="0">
                  <c:v>Total</c:v>
                </c:pt>
              </c:strCache>
            </c:strRef>
          </c:tx>
          <c:spPr>
            <a:solidFill>
              <a:schemeClr val="accent1"/>
            </a:solidFill>
            <a:ln>
              <a:noFill/>
            </a:ln>
            <a:effectLst/>
          </c:spPr>
          <c:invertIfNegative val="0"/>
          <c:cat>
            <c:strRef>
              <c:f>'Data Summarization'!$G$7:$G$17</c:f>
              <c:strCache>
                <c:ptCount val="10"/>
                <c:pt idx="0">
                  <c:v>Backpack</c:v>
                </c:pt>
                <c:pt idx="1">
                  <c:v>Desk Chair</c:v>
                </c:pt>
                <c:pt idx="2">
                  <c:v>Keyboard</c:v>
                </c:pt>
                <c:pt idx="3">
                  <c:v>Laptop</c:v>
                </c:pt>
                <c:pt idx="4">
                  <c:v>Monitor</c:v>
                </c:pt>
                <c:pt idx="5">
                  <c:v>Mouse</c:v>
                </c:pt>
                <c:pt idx="6">
                  <c:v>Notebook</c:v>
                </c:pt>
                <c:pt idx="7">
                  <c:v>Office Desk</c:v>
                </c:pt>
                <c:pt idx="8">
                  <c:v>Pen Pack</c:v>
                </c:pt>
                <c:pt idx="9">
                  <c:v>Printer</c:v>
                </c:pt>
              </c:strCache>
            </c:strRef>
          </c:cat>
          <c:val>
            <c:numRef>
              <c:f>'Data Summarization'!$H$7:$H$17</c:f>
              <c:numCache>
                <c:formatCode>General</c:formatCode>
                <c:ptCount val="10"/>
                <c:pt idx="0">
                  <c:v>322</c:v>
                </c:pt>
                <c:pt idx="1">
                  <c:v>316</c:v>
                </c:pt>
                <c:pt idx="2">
                  <c:v>301</c:v>
                </c:pt>
                <c:pt idx="3">
                  <c:v>230</c:v>
                </c:pt>
                <c:pt idx="4">
                  <c:v>222</c:v>
                </c:pt>
                <c:pt idx="5">
                  <c:v>253</c:v>
                </c:pt>
                <c:pt idx="6">
                  <c:v>271</c:v>
                </c:pt>
                <c:pt idx="7">
                  <c:v>269</c:v>
                </c:pt>
                <c:pt idx="8">
                  <c:v>271</c:v>
                </c:pt>
                <c:pt idx="9">
                  <c:v>240</c:v>
                </c:pt>
              </c:numCache>
            </c:numRef>
          </c:val>
          <c:extLst>
            <c:ext xmlns:c16="http://schemas.microsoft.com/office/drawing/2014/chart" uri="{C3380CC4-5D6E-409C-BE32-E72D297353CC}">
              <c16:uniqueId val="{00000000-616D-4CAC-A28A-B18B12598633}"/>
            </c:ext>
          </c:extLst>
        </c:ser>
        <c:dLbls>
          <c:showLegendKey val="0"/>
          <c:showVal val="0"/>
          <c:showCatName val="0"/>
          <c:showSerName val="0"/>
          <c:showPercent val="0"/>
          <c:showBubbleSize val="0"/>
        </c:dLbls>
        <c:gapWidth val="219"/>
        <c:overlap val="-27"/>
        <c:axId val="1776635151"/>
        <c:axId val="1776630575"/>
      </c:barChart>
      <c:catAx>
        <c:axId val="177663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30575"/>
        <c:crosses val="autoZero"/>
        <c:auto val="1"/>
        <c:lblAlgn val="ctr"/>
        <c:lblOffset val="100"/>
        <c:noMultiLvlLbl val="0"/>
      </c:catAx>
      <c:valAx>
        <c:axId val="177663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351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[Zinsa_ExcelDashbord.xlsx]Data Summarization!PivotTable9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Type Analysis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'Data Summarization'!$E$15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17-4C6A-946C-854F11EA1A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17-4C6A-946C-854F11EA1AF1}"/>
              </c:ext>
            </c:extLst>
          </c:dPt>
          <c:cat>
            <c:strRef>
              <c:f>'Data Summarization'!$D$16:$D$18</c:f>
              <c:strCache>
                <c:ptCount val="2"/>
                <c:pt idx="0">
                  <c:v>Retail</c:v>
                </c:pt>
                <c:pt idx="1">
                  <c:v>Wholesale</c:v>
                </c:pt>
              </c:strCache>
            </c:strRef>
          </c:cat>
          <c:val>
            <c:numRef>
              <c:f>'Data Summarization'!$E$16:$E$18</c:f>
              <c:numCache>
                <c:formatCode>0.00</c:formatCode>
                <c:ptCount val="2"/>
                <c:pt idx="0">
                  <c:v>746.92202334630383</c:v>
                </c:pt>
                <c:pt idx="1">
                  <c:v>817.91403292181076</c:v>
                </c:pt>
              </c:numCache>
            </c:numRef>
          </c:val>
          <c:extLst>
            <c:ext xmlns:c16="http://schemas.microsoft.com/office/drawing/2014/chart" uri="{C3380CC4-5D6E-409C-BE32-E72D297353CC}">
              <c16:uniqueId val="{00000004-B517-4C6A-946C-854F11EA1AF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[Zinsa_ExcelDashbord.xlsx]Data Summarization!PivotTable10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 Category Analysis</a:t>
            </a:r>
          </a:p>
        </c:rich>
      </c:tx>
      <c:layout>
        <c:manualLayout>
          <c:xMode val="edge"/>
          <c:yMode val="edge"/>
          <c:x val="0.49473600174978127"/>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w="28575" cap="rnd">
            <a:solidFill>
              <a:schemeClr val="accent1"/>
            </a:solidFill>
            <a:round/>
          </a:ln>
          <a:effectLst/>
        </c:spPr>
      </c:pivotFmt>
      <c:pivotFmt>
        <c:idx val="7"/>
        <c:spPr>
          <a:solidFill>
            <a:schemeClr val="accent1"/>
          </a:solidFill>
          <a:ln w="28575" cap="rnd">
            <a:solidFill>
              <a:schemeClr val="accent1"/>
            </a:solidFill>
            <a:round/>
          </a:ln>
          <a:effectLst/>
        </c:spP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s>
    <c:plotArea>
      <c:layout>
        <c:manualLayout>
          <c:layoutTarget val="inner"/>
          <c:xMode val="edge"/>
          <c:yMode val="edge"/>
          <c:x val="9.1914260717410323E-2"/>
          <c:y val="0.16606262758821813"/>
          <c:w val="0.65589085739282593"/>
          <c:h val="0.6349660979877515"/>
        </c:manualLayout>
      </c:layout>
      <c:barChart>
        <c:barDir val="col"/>
        <c:grouping val="clustered"/>
        <c:varyColors val="0"/>
        <c:ser>
          <c:idx val="0"/>
          <c:order val="0"/>
          <c:tx>
            <c:strRef>
              <c:f>'Data Summarization'!$E$22:$E$23</c:f>
              <c:strCache>
                <c:ptCount val="1"/>
                <c:pt idx="0">
                  <c:v>Accessories</c:v>
                </c:pt>
              </c:strCache>
            </c:strRef>
          </c:tx>
          <c:spPr>
            <a:solidFill>
              <a:schemeClr val="accent1"/>
            </a:solidFill>
            <a:ln>
              <a:noFill/>
            </a:ln>
            <a:effectLst/>
          </c:spPr>
          <c:invertIfNegative val="0"/>
          <c:cat>
            <c:strRef>
              <c:f>'Data Summarization'!$D$24:$D$28</c:f>
              <c:strCache>
                <c:ptCount val="4"/>
                <c:pt idx="0">
                  <c:v>East</c:v>
                </c:pt>
                <c:pt idx="1">
                  <c:v>North</c:v>
                </c:pt>
                <c:pt idx="2">
                  <c:v>South</c:v>
                </c:pt>
                <c:pt idx="3">
                  <c:v>West</c:v>
                </c:pt>
              </c:strCache>
            </c:strRef>
          </c:cat>
          <c:val>
            <c:numRef>
              <c:f>'Data Summarization'!$E$24:$E$28</c:f>
              <c:numCache>
                <c:formatCode>0</c:formatCode>
                <c:ptCount val="4"/>
                <c:pt idx="0">
                  <c:v>206.42888888888896</c:v>
                </c:pt>
                <c:pt idx="1">
                  <c:v>201.03533333333328</c:v>
                </c:pt>
                <c:pt idx="2">
                  <c:v>252.34900000000002</c:v>
                </c:pt>
                <c:pt idx="3">
                  <c:v>233.35388888888889</c:v>
                </c:pt>
              </c:numCache>
            </c:numRef>
          </c:val>
          <c:extLst>
            <c:ext xmlns:c16="http://schemas.microsoft.com/office/drawing/2014/chart" uri="{C3380CC4-5D6E-409C-BE32-E72D297353CC}">
              <c16:uniqueId val="{00000000-10F2-40B5-BEB2-AF4118F4674B}"/>
            </c:ext>
          </c:extLst>
        </c:ser>
        <c:ser>
          <c:idx val="1"/>
          <c:order val="1"/>
          <c:tx>
            <c:strRef>
              <c:f>'Data Summarization'!$F$22:$F$23</c:f>
              <c:strCache>
                <c:ptCount val="1"/>
                <c:pt idx="0">
                  <c:v>Electronics</c:v>
                </c:pt>
              </c:strCache>
            </c:strRef>
          </c:tx>
          <c:spPr>
            <a:solidFill>
              <a:schemeClr val="accent2"/>
            </a:solidFill>
            <a:ln>
              <a:noFill/>
            </a:ln>
            <a:effectLst/>
          </c:spPr>
          <c:invertIfNegative val="0"/>
          <c:cat>
            <c:strRef>
              <c:f>'Data Summarization'!$D$24:$D$28</c:f>
              <c:strCache>
                <c:ptCount val="4"/>
                <c:pt idx="0">
                  <c:v>East</c:v>
                </c:pt>
                <c:pt idx="1">
                  <c:v>North</c:v>
                </c:pt>
                <c:pt idx="2">
                  <c:v>South</c:v>
                </c:pt>
                <c:pt idx="3">
                  <c:v>West</c:v>
                </c:pt>
              </c:strCache>
            </c:strRef>
          </c:cat>
          <c:val>
            <c:numRef>
              <c:f>'Data Summarization'!$F$24:$F$28</c:f>
              <c:numCache>
                <c:formatCode>0</c:formatCode>
                <c:ptCount val="4"/>
                <c:pt idx="0">
                  <c:v>946.87666666666644</c:v>
                </c:pt>
                <c:pt idx="1">
                  <c:v>1069.4122500000001</c:v>
                </c:pt>
                <c:pt idx="2">
                  <c:v>1239.5806756756756</c:v>
                </c:pt>
                <c:pt idx="3">
                  <c:v>1160.0518032786886</c:v>
                </c:pt>
              </c:numCache>
            </c:numRef>
          </c:val>
          <c:extLst>
            <c:ext xmlns:c16="http://schemas.microsoft.com/office/drawing/2014/chart" uri="{C3380CC4-5D6E-409C-BE32-E72D297353CC}">
              <c16:uniqueId val="{00000001-10F2-40B5-BEB2-AF4118F4674B}"/>
            </c:ext>
          </c:extLst>
        </c:ser>
        <c:dLbls>
          <c:showLegendKey val="0"/>
          <c:showVal val="0"/>
          <c:showCatName val="0"/>
          <c:showSerName val="0"/>
          <c:showPercent val="0"/>
          <c:showBubbleSize val="0"/>
        </c:dLbls>
        <c:gapWidth val="150"/>
        <c:axId val="1776629743"/>
        <c:axId val="1776630991"/>
      </c:barChart>
      <c:lineChart>
        <c:grouping val="standard"/>
        <c:varyColors val="0"/>
        <c:ser>
          <c:idx val="2"/>
          <c:order val="2"/>
          <c:tx>
            <c:strRef>
              <c:f>'Data Summarization'!$G$22:$G$23</c:f>
              <c:strCache>
                <c:ptCount val="1"/>
                <c:pt idx="0">
                  <c:v>Furniture</c:v>
                </c:pt>
              </c:strCache>
            </c:strRef>
          </c:tx>
          <c:spPr>
            <a:ln w="28575" cap="rnd">
              <a:solidFill>
                <a:schemeClr val="accent3"/>
              </a:solidFill>
              <a:round/>
            </a:ln>
            <a:effectLst/>
          </c:spPr>
          <c:marker>
            <c:symbol val="none"/>
          </c:marker>
          <c:cat>
            <c:strRef>
              <c:f>'Data Summarization'!$D$24:$D$28</c:f>
              <c:strCache>
                <c:ptCount val="4"/>
                <c:pt idx="0">
                  <c:v>East</c:v>
                </c:pt>
                <c:pt idx="1">
                  <c:v>North</c:v>
                </c:pt>
                <c:pt idx="2">
                  <c:v>South</c:v>
                </c:pt>
                <c:pt idx="3">
                  <c:v>West</c:v>
                </c:pt>
              </c:strCache>
            </c:strRef>
          </c:cat>
          <c:val>
            <c:numRef>
              <c:f>'Data Summarization'!$G$24:$G$28</c:f>
              <c:numCache>
                <c:formatCode>0</c:formatCode>
                <c:ptCount val="4"/>
                <c:pt idx="0">
                  <c:v>1226.2214285714285</c:v>
                </c:pt>
                <c:pt idx="1">
                  <c:v>1026.0554545454543</c:v>
                </c:pt>
                <c:pt idx="2">
                  <c:v>1075.464074074074</c:v>
                </c:pt>
                <c:pt idx="3">
                  <c:v>1089.5313333333331</c:v>
                </c:pt>
              </c:numCache>
            </c:numRef>
          </c:val>
          <c:smooth val="0"/>
          <c:extLst>
            <c:ext xmlns:c16="http://schemas.microsoft.com/office/drawing/2014/chart" uri="{C3380CC4-5D6E-409C-BE32-E72D297353CC}">
              <c16:uniqueId val="{00000002-10F2-40B5-BEB2-AF4118F4674B}"/>
            </c:ext>
          </c:extLst>
        </c:ser>
        <c:ser>
          <c:idx val="3"/>
          <c:order val="3"/>
          <c:tx>
            <c:strRef>
              <c:f>'Data Summarization'!$H$22:$H$23</c:f>
              <c:strCache>
                <c:ptCount val="1"/>
                <c:pt idx="0">
                  <c:v>Stationery</c:v>
                </c:pt>
              </c:strCache>
            </c:strRef>
          </c:tx>
          <c:spPr>
            <a:ln w="28575" cap="rnd">
              <a:solidFill>
                <a:schemeClr val="accent4"/>
              </a:solidFill>
              <a:round/>
            </a:ln>
            <a:effectLst/>
          </c:spPr>
          <c:marker>
            <c:symbol val="none"/>
          </c:marker>
          <c:cat>
            <c:strRef>
              <c:f>'Data Summarization'!$D$24:$D$28</c:f>
              <c:strCache>
                <c:ptCount val="4"/>
                <c:pt idx="0">
                  <c:v>East</c:v>
                </c:pt>
                <c:pt idx="1">
                  <c:v>North</c:v>
                </c:pt>
                <c:pt idx="2">
                  <c:v>South</c:v>
                </c:pt>
                <c:pt idx="3">
                  <c:v>West</c:v>
                </c:pt>
              </c:strCache>
            </c:strRef>
          </c:cat>
          <c:val>
            <c:numRef>
              <c:f>'Data Summarization'!$H$24:$H$28</c:f>
              <c:numCache>
                <c:formatCode>0</c:formatCode>
                <c:ptCount val="4"/>
                <c:pt idx="0">
                  <c:v>24.217428571428567</c:v>
                </c:pt>
                <c:pt idx="1">
                  <c:v>24.656071428571426</c:v>
                </c:pt>
                <c:pt idx="2">
                  <c:v>19.083636363636369</c:v>
                </c:pt>
                <c:pt idx="3">
                  <c:v>20.621875000000003</c:v>
                </c:pt>
              </c:numCache>
            </c:numRef>
          </c:val>
          <c:smooth val="0"/>
          <c:extLst>
            <c:ext xmlns:c16="http://schemas.microsoft.com/office/drawing/2014/chart" uri="{C3380CC4-5D6E-409C-BE32-E72D297353CC}">
              <c16:uniqueId val="{00000003-10F2-40B5-BEB2-AF4118F4674B}"/>
            </c:ext>
          </c:extLst>
        </c:ser>
        <c:dLbls>
          <c:showLegendKey val="0"/>
          <c:showVal val="0"/>
          <c:showCatName val="0"/>
          <c:showSerName val="0"/>
          <c:showPercent val="0"/>
          <c:showBubbleSize val="0"/>
        </c:dLbls>
        <c:marker val="1"/>
        <c:smooth val="0"/>
        <c:axId val="1776629743"/>
        <c:axId val="1776630991"/>
      </c:lineChart>
      <c:catAx>
        <c:axId val="177662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30991"/>
        <c:crosses val="autoZero"/>
        <c:auto val="1"/>
        <c:lblAlgn val="ctr"/>
        <c:lblOffset val="100"/>
        <c:noMultiLvlLbl val="0"/>
      </c:catAx>
      <c:valAx>
        <c:axId val="1776630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2974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[Zinsa_ExcelDashbord.xlsx]Data Summarization!PivotTable8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Salesperson Performance</a:t>
            </a:r>
          </a:p>
        </c:rich>
      </c:tx>
      <c:layout>
        <c:manualLayout>
          <c:xMode val="edge"/>
          <c:yMode val="edge"/>
          <c:x val="0.48013888888888889"/>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'Data Summarization'!$B$15</c:f>
              <c:strCache>
                <c:ptCount val="1"/>
                <c:pt idx="0">
                  <c:v>Total</c:v>
                </c:pt>
              </c:strCache>
            </c:strRef>
          </c:tx>
          <c:spPr>
            <a:ln w="28575" cap="rnd">
              <a:solidFill>
                <a:schemeClr val="accent1"/>
              </a:solidFill>
              <a:round/>
            </a:ln>
            <a:effectLst/>
          </c:spPr>
          <c:marker>
            <c:symbol val="none"/>
          </c:marker>
          <c:cat>
            <c:strRef>
              <c:f>'Data Summarization'!$A$16:$A$22</c:f>
              <c:strCache>
                <c:ptCount val="6"/>
                <c:pt idx="0">
                  <c:v>Amit</c:v>
                </c:pt>
                <c:pt idx="1">
                  <c:v>Karan</c:v>
                </c:pt>
                <c:pt idx="2">
                  <c:v>Priya</c:v>
                </c:pt>
                <c:pt idx="3">
                  <c:v>Rahul</c:v>
                </c:pt>
                <c:pt idx="4">
                  <c:v>Riya</c:v>
                </c:pt>
                <c:pt idx="5">
                  <c:v>Sneha</c:v>
                </c:pt>
              </c:strCache>
            </c:strRef>
          </c:cat>
          <c:val>
            <c:numRef>
              <c:f>'Data Summarization'!$B$16:$B$22</c:f>
              <c:numCache>
                <c:formatCode>General</c:formatCode>
                <c:ptCount val="6"/>
                <c:pt idx="0">
                  <c:v>53035.429999999993</c:v>
                </c:pt>
                <c:pt idx="1">
                  <c:v>66858.63</c:v>
                </c:pt>
                <c:pt idx="2">
                  <c:v>57860.24</c:v>
                </c:pt>
                <c:pt idx="3">
                  <c:v>62668.589999999982</c:v>
                </c:pt>
                <c:pt idx="4">
                  <c:v>90381.010000000009</c:v>
                </c:pt>
                <c:pt idx="5">
                  <c:v>59908.17</c:v>
                </c:pt>
              </c:numCache>
            </c:numRef>
          </c:val>
          <c:smooth val="0"/>
          <c:extLst>
            <c:ext xmlns:c16="http://schemas.microsoft.com/office/drawing/2014/chart" uri="{C3380CC4-5D6E-409C-BE32-E72D297353CC}">
              <c16:uniqueId val="{00000000-4454-41E3-B91D-2514381C95BA}"/>
            </c:ext>
          </c:extLst>
        </c:ser>
        <c:dLbls>
          <c:showLegendKey val="0"/>
          <c:showVal val="0"/>
          <c:showCatName val="0"/>
          <c:showSerName val="0"/>
          <c:showPercent val="0"/>
          <c:showBubbleSize val="0"/>
        </c:dLbls>
        <c:smooth val="0"/>
        <c:axId val="1680356095"/>
        <c:axId val="1680349439"/>
      </c:lineChart>
      <c:catAx>
        <c:axId val="168035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349439"/>
        <c:crosses val="autoZero"/>
        <c:auto val="1"/>
        <c:lblAlgn val="ctr"/>
        <c:lblOffset val="100"/>
        <c:noMultiLvlLbl val="0"/>
      </c:catAx>
      <c:valAx>
        <c:axId val="1680349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3560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[Zinsa_ExcelDashbord.xlsx]Data Summarization!PivotTable5</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layout>
        <c:manualLayout>
          <c:xMode val="edge"/>
          <c:yMode val="edge"/>
          <c:x val="0.55847222222222226"/>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'Data Summarization'!$B$6</c:f>
              <c:strCache>
                <c:ptCount val="1"/>
                <c:pt idx="0">
                  <c:v>Total</c:v>
                </c:pt>
              </c:strCache>
            </c:strRef>
          </c:tx>
          <c:spPr>
            <a:solidFill>
              <a:schemeClr val="accent1"/>
            </a:solidFill>
            <a:ln>
              <a:noFill/>
            </a:ln>
            <a:effectLst/>
          </c:spPr>
          <c:invertIfNegative val="0"/>
          <c:cat>
            <c:strRef>
              <c:f>'Data Summarization'!$A$7:$A$11</c:f>
              <c:strCache>
                <c:ptCount val="4"/>
                <c:pt idx="0">
                  <c:v>Accessories</c:v>
                </c:pt>
                <c:pt idx="1">
                  <c:v>Electronics</c:v>
                </c:pt>
                <c:pt idx="2">
                  <c:v>Furniture</c:v>
                </c:pt>
                <c:pt idx="3">
                  <c:v>Stationery</c:v>
                </c:pt>
              </c:strCache>
            </c:strRef>
          </c:cat>
          <c:val>
            <c:numRef>
              <c:f>'Data Summarization'!$B$7:$B$11</c:f>
              <c:numCache>
                <c:formatCode>General</c:formatCode>
                <c:ptCount val="4"/>
                <c:pt idx="0">
                  <c:v>13455.11</c:v>
                </c:pt>
                <c:pt idx="1">
                  <c:v>264921.85000000003</c:v>
                </c:pt>
                <c:pt idx="2">
                  <c:v>110047.34000000003</c:v>
                </c:pt>
                <c:pt idx="3">
                  <c:v>2287.77</c:v>
                </c:pt>
              </c:numCache>
            </c:numRef>
          </c:val>
          <c:extLst>
            <c:ext xmlns:c16="http://schemas.microsoft.com/office/drawing/2014/chart" uri="{C3380CC4-5D6E-409C-BE32-E72D297353CC}">
              <c16:uniqueId val="{00000000-F088-45B5-B2B1-4AE61CB68A94}"/>
            </c:ext>
          </c:extLst>
        </c:ser>
        <c:dLbls>
          <c:showLegendKey val="0"/>
          <c:showVal val="0"/>
          <c:showCatName val="0"/>
          <c:showSerName val="0"/>
          <c:showPercent val="0"/>
          <c:showBubbleSize val="0"/>
        </c:dLbls>
        <c:gapWidth val="182"/>
        <c:axId val="267603408"/>
        <c:axId val="267603824"/>
      </c:barChart>
      <c:catAx>
        <c:axId val="267603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03824"/>
        <c:crosses val="autoZero"/>
        <c:auto val="1"/>
        <c:lblAlgn val="ctr"/>
        <c:lblOffset val="100"/>
        <c:noMultiLvlLbl val="0"/>
      </c:catAx>
      <c:valAx>
        <c:axId val="267603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03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[Zinsa_ExcelDashbord.xlsx]Data Summarization!PivotTable6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layout>
        <c:manualLayout>
          <c:xMode val="edge"/>
          <c:yMode val="edge"/>
          <c:x val="0.478611111111111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'Data Summarization'!$E$6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5F-404E-AA1E-9FE8CF2F3B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5F-404E-AA1E-9FE8CF2F3B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5F-404E-AA1E-9FE8CF2F3B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5F-404E-AA1E-9FE8CF2F3BE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'Data Summarization'!$D$7:$D$11</c:f>
              <c:strCache>
                <c:ptCount val="4"/>
                <c:pt idx="0">
                  <c:v>East</c:v>
                </c:pt>
                <c:pt idx="1">
                  <c:v>North</c:v>
                </c:pt>
                <c:pt idx="2">
                  <c:v>South</c:v>
                </c:pt>
                <c:pt idx="3">
                  <c:v>West</c:v>
                </c:pt>
              </c:strCache>
            </c:strRef>
          </c:cat>
          <c:val>
            <c:numRef>
              <c:f>'Data Summarization'!$E$7:$E$11</c:f>
              <c:numCache>
                <c:formatCode>General</c:formatCode>
                <c:ptCount val="4"/>
                <c:pt idx="0">
                  <c:v>89967.21</c:v>
                </c:pt>
                <c:pt idx="1">
                  <c:v>69055.609999999986</c:v>
                </c:pt>
                <c:pt idx="2">
                  <c:v>123709.83</c:v>
                </c:pt>
                <c:pt idx="3">
                  <c:v>107979.42000000003</c:v>
                </c:pt>
              </c:numCache>
            </c:numRef>
          </c:val>
          <c:extLst>
            <c:ext xmlns:c16="http://schemas.microsoft.com/office/drawing/2014/chart" uri="{C3380CC4-5D6E-409C-BE32-E72D297353CC}">
              <c16:uniqueId val="{00000008-AE5F-404E-AA1E-9FE8CF2F3BE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[Zinsa_ExcelDashbord.xlsx]Data Summarization!PivotTable7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 Performance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'Data Summarization'!$H$6</c:f>
              <c:strCache>
                <c:ptCount val="1"/>
                <c:pt idx="0">
                  <c:v>Total</c:v>
                </c:pt>
              </c:strCache>
            </c:strRef>
          </c:tx>
          <c:spPr>
            <a:solidFill>
              <a:schemeClr val="accent1"/>
            </a:solidFill>
            <a:ln>
              <a:noFill/>
            </a:ln>
            <a:effectLst/>
          </c:spPr>
          <c:invertIfNegative val="0"/>
          <c:cat>
            <c:strRef>
              <c:f>'Data Summarization'!$G$7:$G$17</c:f>
              <c:strCache>
                <c:ptCount val="10"/>
                <c:pt idx="0">
                  <c:v>Backpack</c:v>
                </c:pt>
                <c:pt idx="1">
                  <c:v>Desk Chair</c:v>
                </c:pt>
                <c:pt idx="2">
                  <c:v>Keyboard</c:v>
                </c:pt>
                <c:pt idx="3">
                  <c:v>Laptop</c:v>
                </c:pt>
                <c:pt idx="4">
                  <c:v>Monitor</c:v>
                </c:pt>
                <c:pt idx="5">
                  <c:v>Mouse</c:v>
                </c:pt>
                <c:pt idx="6">
                  <c:v>Notebook</c:v>
                </c:pt>
                <c:pt idx="7">
                  <c:v>Office Desk</c:v>
                </c:pt>
                <c:pt idx="8">
                  <c:v>Pen Pack</c:v>
                </c:pt>
                <c:pt idx="9">
                  <c:v>Printer</c:v>
                </c:pt>
              </c:strCache>
            </c:strRef>
          </c:cat>
          <c:val>
            <c:numRef>
              <c:f>'Data Summarization'!$H$7:$H$17</c:f>
              <c:numCache>
                <c:formatCode>General</c:formatCode>
                <c:ptCount val="10"/>
                <c:pt idx="0">
                  <c:v>322</c:v>
                </c:pt>
                <c:pt idx="1">
                  <c:v>316</c:v>
                </c:pt>
                <c:pt idx="2">
                  <c:v>301</c:v>
                </c:pt>
                <c:pt idx="3">
                  <c:v>230</c:v>
                </c:pt>
                <c:pt idx="4">
                  <c:v>222</c:v>
                </c:pt>
                <c:pt idx="5">
                  <c:v>253</c:v>
                </c:pt>
                <c:pt idx="6">
                  <c:v>271</c:v>
                </c:pt>
                <c:pt idx="7">
                  <c:v>269</c:v>
                </c:pt>
                <c:pt idx="8">
                  <c:v>271</c:v>
                </c:pt>
                <c:pt idx="9">
                  <c:v>240</c:v>
                </c:pt>
              </c:numCache>
            </c:numRef>
          </c:val>
          <c:extLst>
            <c:ext xmlns:c16="http://schemas.microsoft.com/office/drawing/2014/chart" uri="{C3380CC4-5D6E-409C-BE32-E72D297353CC}">
              <c16:uniqueId val="{00000000-F0F6-4FE5-AB8D-02168EEA5E77}"/>
            </c:ext>
          </c:extLst>
        </c:ser>
        <c:dLbls>
          <c:showLegendKey val="0"/>
          <c:showVal val="0"/>
          <c:showCatName val="0"/>
          <c:showSerName val="0"/>
          <c:showPercent val="0"/>
          <c:showBubbleSize val="0"/>
        </c:dLbls>
        <c:gapWidth val="219"/>
        <c:overlap val="-27"/>
        <c:axId val="1776635151"/>
        <c:axId val="1776630575"/>
      </c:barChart>
      <c:catAx>
        <c:axId val="177663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30575"/>
        <c:crosses val="autoZero"/>
        <c:auto val="1"/>
        <c:lblAlgn val="ctr"/>
        <c:lblOffset val="100"/>
        <c:noMultiLvlLbl val="0"/>
      </c:catAx>
      <c:valAx>
        <c:axId val="177663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351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[Zinsa_ExcelDashbord.xlsx]Data Summarization!PivotTable10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 Category Analysis</a:t>
            </a:r>
          </a:p>
        </c:rich>
      </c:tx>
      <c:layout>
        <c:manualLayout>
          <c:xMode val="edge"/>
          <c:yMode val="edge"/>
          <c:x val="0.49473600174978127"/>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w="28575" cap="rnd">
            <a:solidFill>
              <a:schemeClr val="accent1"/>
            </a:solidFill>
            <a:round/>
          </a:ln>
          <a:effectLst/>
        </c:spPr>
      </c:pivotFmt>
      <c:pivotFmt>
        <c:idx val="7"/>
        <c:spPr>
          <a:solidFill>
            <a:schemeClr val="accent1"/>
          </a:solidFill>
          <a:ln w="28575" cap="rnd">
            <a:solidFill>
              <a:schemeClr val="accent1"/>
            </a:solidFill>
            <a:round/>
          </a:ln>
          <a:effectLst/>
        </c:spP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s>
    <c:plotArea>
      <c:layout>
        <c:manualLayout>
          <c:layoutTarget val="inner"/>
          <c:xMode val="edge"/>
          <c:yMode val="edge"/>
          <c:x val="9.1914260717410323E-2"/>
          <c:y val="0.16606262758821813"/>
          <c:w val="0.65589085739282593"/>
          <c:h val="0.6349660979877515"/>
        </c:manualLayout>
      </c:layout>
      <c:barChart>
        <c:barDir val="col"/>
        <c:grouping val="clustered"/>
        <c:varyColors val="0"/>
        <c:ser>
          <c:idx val="0"/>
          <c:order val="0"/>
          <c:tx>
            <c:strRef>
              <c:f>'Data Summarization'!$E$22:$E$23</c:f>
              <c:strCache>
                <c:ptCount val="1"/>
                <c:pt idx="0">
                  <c:v>Accessories</c:v>
                </c:pt>
              </c:strCache>
            </c:strRef>
          </c:tx>
          <c:spPr>
            <a:solidFill>
              <a:schemeClr val="accent1"/>
            </a:solidFill>
            <a:ln>
              <a:noFill/>
            </a:ln>
            <a:effectLst/>
          </c:spPr>
          <c:invertIfNegative val="0"/>
          <c:cat>
            <c:strRef>
              <c:f>'Data Summarization'!$D$24:$D$28</c:f>
              <c:strCache>
                <c:ptCount val="4"/>
                <c:pt idx="0">
                  <c:v>East</c:v>
                </c:pt>
                <c:pt idx="1">
                  <c:v>North</c:v>
                </c:pt>
                <c:pt idx="2">
                  <c:v>South</c:v>
                </c:pt>
                <c:pt idx="3">
                  <c:v>West</c:v>
                </c:pt>
              </c:strCache>
            </c:strRef>
          </c:cat>
          <c:val>
            <c:numRef>
              <c:f>'Data Summarization'!$E$24:$E$28</c:f>
              <c:numCache>
                <c:formatCode>0</c:formatCode>
                <c:ptCount val="4"/>
                <c:pt idx="0">
                  <c:v>206.42888888888896</c:v>
                </c:pt>
                <c:pt idx="1">
                  <c:v>201.03533333333328</c:v>
                </c:pt>
                <c:pt idx="2">
                  <c:v>252.34900000000002</c:v>
                </c:pt>
                <c:pt idx="3">
                  <c:v>233.35388888888889</c:v>
                </c:pt>
              </c:numCache>
            </c:numRef>
          </c:val>
          <c:extLst>
            <c:ext xmlns:c16="http://schemas.microsoft.com/office/drawing/2014/chart" uri="{C3380CC4-5D6E-409C-BE32-E72D297353CC}">
              <c16:uniqueId val="{00000000-3CB3-4344-8954-F63EB55EB2A5}"/>
            </c:ext>
          </c:extLst>
        </c:ser>
        <c:ser>
          <c:idx val="1"/>
          <c:order val="1"/>
          <c:tx>
            <c:strRef>
              <c:f>'Data Summarization'!$F$22:$F$23</c:f>
              <c:strCache>
                <c:ptCount val="1"/>
                <c:pt idx="0">
                  <c:v>Electronics</c:v>
                </c:pt>
              </c:strCache>
            </c:strRef>
          </c:tx>
          <c:spPr>
            <a:solidFill>
              <a:schemeClr val="accent2"/>
            </a:solidFill>
            <a:ln>
              <a:noFill/>
            </a:ln>
            <a:effectLst/>
          </c:spPr>
          <c:invertIfNegative val="0"/>
          <c:cat>
            <c:strRef>
              <c:f>'Data Summarization'!$D$24:$D$28</c:f>
              <c:strCache>
                <c:ptCount val="4"/>
                <c:pt idx="0">
                  <c:v>East</c:v>
                </c:pt>
                <c:pt idx="1">
                  <c:v>North</c:v>
                </c:pt>
                <c:pt idx="2">
                  <c:v>South</c:v>
                </c:pt>
                <c:pt idx="3">
                  <c:v>West</c:v>
                </c:pt>
              </c:strCache>
            </c:strRef>
          </c:cat>
          <c:val>
            <c:numRef>
              <c:f>'Data Summarization'!$F$24:$F$28</c:f>
              <c:numCache>
                <c:formatCode>0</c:formatCode>
                <c:ptCount val="4"/>
                <c:pt idx="0">
                  <c:v>946.87666666666644</c:v>
                </c:pt>
                <c:pt idx="1">
                  <c:v>1069.4122500000001</c:v>
                </c:pt>
                <c:pt idx="2">
                  <c:v>1239.5806756756756</c:v>
                </c:pt>
                <c:pt idx="3">
                  <c:v>1160.0518032786886</c:v>
                </c:pt>
              </c:numCache>
            </c:numRef>
          </c:val>
          <c:extLst>
            <c:ext xmlns:c16="http://schemas.microsoft.com/office/drawing/2014/chart" uri="{C3380CC4-5D6E-409C-BE32-E72D297353CC}">
              <c16:uniqueId val="{00000001-3CB3-4344-8954-F63EB55EB2A5}"/>
            </c:ext>
          </c:extLst>
        </c:ser>
        <c:dLbls>
          <c:showLegendKey val="0"/>
          <c:showVal val="0"/>
          <c:showCatName val="0"/>
          <c:showSerName val="0"/>
          <c:showPercent val="0"/>
          <c:showBubbleSize val="0"/>
        </c:dLbls>
        <c:gapWidth val="150"/>
        <c:axId val="1776629743"/>
        <c:axId val="1776630991"/>
      </c:barChart>
      <c:lineChart>
        <c:grouping val="standard"/>
        <c:varyColors val="0"/>
        <c:ser>
          <c:idx val="2"/>
          <c:order val="2"/>
          <c:tx>
            <c:strRef>
              <c:f>'Data Summarization'!$G$22:$G$23</c:f>
              <c:strCache>
                <c:ptCount val="1"/>
                <c:pt idx="0">
                  <c:v>Furniture</c:v>
                </c:pt>
              </c:strCache>
            </c:strRef>
          </c:tx>
          <c:spPr>
            <a:ln w="28575" cap="rnd">
              <a:solidFill>
                <a:schemeClr val="accent3"/>
              </a:solidFill>
              <a:round/>
            </a:ln>
            <a:effectLst/>
          </c:spPr>
          <c:marker>
            <c:symbol val="none"/>
          </c:marker>
          <c:cat>
            <c:strRef>
              <c:f>'Data Summarization'!$D$24:$D$28</c:f>
              <c:strCache>
                <c:ptCount val="4"/>
                <c:pt idx="0">
                  <c:v>East</c:v>
                </c:pt>
                <c:pt idx="1">
                  <c:v>North</c:v>
                </c:pt>
                <c:pt idx="2">
                  <c:v>South</c:v>
                </c:pt>
                <c:pt idx="3">
                  <c:v>West</c:v>
                </c:pt>
              </c:strCache>
            </c:strRef>
          </c:cat>
          <c:val>
            <c:numRef>
              <c:f>'Data Summarization'!$G$24:$G$28</c:f>
              <c:numCache>
                <c:formatCode>0</c:formatCode>
                <c:ptCount val="4"/>
                <c:pt idx="0">
                  <c:v>1226.2214285714285</c:v>
                </c:pt>
                <c:pt idx="1">
                  <c:v>1026.0554545454543</c:v>
                </c:pt>
                <c:pt idx="2">
                  <c:v>1075.464074074074</c:v>
                </c:pt>
                <c:pt idx="3">
                  <c:v>1089.5313333333331</c:v>
                </c:pt>
              </c:numCache>
            </c:numRef>
          </c:val>
          <c:smooth val="0"/>
          <c:extLst>
            <c:ext xmlns:c16="http://schemas.microsoft.com/office/drawing/2014/chart" uri="{C3380CC4-5D6E-409C-BE32-E72D297353CC}">
              <c16:uniqueId val="{00000002-3CB3-4344-8954-F63EB55EB2A5}"/>
            </c:ext>
          </c:extLst>
        </c:ser>
        <c:ser>
          <c:idx val="3"/>
          <c:order val="3"/>
          <c:tx>
            <c:strRef>
              <c:f>'Data Summarization'!$H$22:$H$23</c:f>
              <c:strCache>
                <c:ptCount val="1"/>
                <c:pt idx="0">
                  <c:v>Stationery</c:v>
                </c:pt>
              </c:strCache>
            </c:strRef>
          </c:tx>
          <c:spPr>
            <a:ln w="28575" cap="rnd">
              <a:solidFill>
                <a:schemeClr val="accent4"/>
              </a:solidFill>
              <a:round/>
            </a:ln>
            <a:effectLst/>
          </c:spPr>
          <c:marker>
            <c:symbol val="none"/>
          </c:marker>
          <c:cat>
            <c:strRef>
              <c:f>'Data Summarization'!$D$24:$D$28</c:f>
              <c:strCache>
                <c:ptCount val="4"/>
                <c:pt idx="0">
                  <c:v>East</c:v>
                </c:pt>
                <c:pt idx="1">
                  <c:v>North</c:v>
                </c:pt>
                <c:pt idx="2">
                  <c:v>South</c:v>
                </c:pt>
                <c:pt idx="3">
                  <c:v>West</c:v>
                </c:pt>
              </c:strCache>
            </c:strRef>
          </c:cat>
          <c:val>
            <c:numRef>
              <c:f>'Data Summarization'!$H$24:$H$28</c:f>
              <c:numCache>
                <c:formatCode>0</c:formatCode>
                <c:ptCount val="4"/>
                <c:pt idx="0">
                  <c:v>24.217428571428567</c:v>
                </c:pt>
                <c:pt idx="1">
                  <c:v>24.656071428571426</c:v>
                </c:pt>
                <c:pt idx="2">
                  <c:v>19.083636363636369</c:v>
                </c:pt>
                <c:pt idx="3">
                  <c:v>20.621875000000003</c:v>
                </c:pt>
              </c:numCache>
            </c:numRef>
          </c:val>
          <c:smooth val="0"/>
          <c:extLst>
            <c:ext xmlns:c16="http://schemas.microsoft.com/office/drawing/2014/chart" uri="{C3380CC4-5D6E-409C-BE32-E72D297353CC}">
              <c16:uniqueId val="{00000003-3CB3-4344-8954-F63EB55EB2A5}"/>
            </c:ext>
          </c:extLst>
        </c:ser>
        <c:dLbls>
          <c:showLegendKey val="0"/>
          <c:showVal val="0"/>
          <c:showCatName val="0"/>
          <c:showSerName val="0"/>
          <c:showPercent val="0"/>
          <c:showBubbleSize val="0"/>
        </c:dLbls>
        <c:marker val="1"/>
        <c:smooth val="0"/>
        <c:axId val="1776629743"/>
        <c:axId val="1776630991"/>
      </c:lineChart>
      <c:catAx>
        <c:axId val="177662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30991"/>
        <c:crosses val="autoZero"/>
        <c:auto val="1"/>
        <c:lblAlgn val="ctr"/>
        <c:lblOffset val="100"/>
        <c:noMultiLvlLbl val="0"/>
      </c:catAx>
      <c:valAx>
        <c:axId val="1776630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2974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[Zinsa_ExcelDashbord.xlsx]Data Summarization!PivotTable8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Salesperson Performance</a:t>
            </a:r>
          </a:p>
        </c:rich>
      </c:tx>
      <c:layout>
        <c:manualLayout>
          <c:xMode val="edge"/>
          <c:yMode val="edge"/>
          <c:x val="0.48013888888888889"/>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'Data Summarization'!$B$15</c:f>
              <c:strCache>
                <c:ptCount val="1"/>
                <c:pt idx="0">
                  <c:v>Total</c:v>
                </c:pt>
              </c:strCache>
            </c:strRef>
          </c:tx>
          <c:spPr>
            <a:ln w="28575" cap="rnd">
              <a:solidFill>
                <a:schemeClr val="accent1"/>
              </a:solidFill>
              <a:round/>
            </a:ln>
            <a:effectLst/>
          </c:spPr>
          <c:marker>
            <c:symbol val="none"/>
          </c:marker>
          <c:cat>
            <c:strRef>
              <c:f>'Data Summarization'!$A$16:$A$22</c:f>
              <c:strCache>
                <c:ptCount val="6"/>
                <c:pt idx="0">
                  <c:v>Amit</c:v>
                </c:pt>
                <c:pt idx="1">
                  <c:v>Karan</c:v>
                </c:pt>
                <c:pt idx="2">
                  <c:v>Priya</c:v>
                </c:pt>
                <c:pt idx="3">
                  <c:v>Rahul</c:v>
                </c:pt>
                <c:pt idx="4">
                  <c:v>Riya</c:v>
                </c:pt>
                <c:pt idx="5">
                  <c:v>Sneha</c:v>
                </c:pt>
              </c:strCache>
            </c:strRef>
          </c:cat>
          <c:val>
            <c:numRef>
              <c:f>'Data Summarization'!$B$16:$B$22</c:f>
              <c:numCache>
                <c:formatCode>General</c:formatCode>
                <c:ptCount val="6"/>
                <c:pt idx="0">
                  <c:v>53035.429999999993</c:v>
                </c:pt>
                <c:pt idx="1">
                  <c:v>66858.63</c:v>
                </c:pt>
                <c:pt idx="2">
                  <c:v>57860.24</c:v>
                </c:pt>
                <c:pt idx="3">
                  <c:v>62668.589999999982</c:v>
                </c:pt>
                <c:pt idx="4">
                  <c:v>90381.010000000009</c:v>
                </c:pt>
                <c:pt idx="5">
                  <c:v>59908.17</c:v>
                </c:pt>
              </c:numCache>
            </c:numRef>
          </c:val>
          <c:smooth val="0"/>
          <c:extLst>
            <c:ext xmlns:c16="http://schemas.microsoft.com/office/drawing/2014/chart" uri="{C3380CC4-5D6E-409C-BE32-E72D297353CC}">
              <c16:uniqueId val="{00000000-ACAF-4C37-87AB-5618DC9C011E}"/>
            </c:ext>
          </c:extLst>
        </c:ser>
        <c:dLbls>
          <c:showLegendKey val="0"/>
          <c:showVal val="0"/>
          <c:showCatName val="0"/>
          <c:showSerName val="0"/>
          <c:showPercent val="0"/>
          <c:showBubbleSize val="0"/>
        </c:dLbls>
        <c:smooth val="0"/>
        <c:axId val="1680356095"/>
        <c:axId val="1680349439"/>
      </c:lineChart>
      <c:catAx>
        <c:axId val="168035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349439"/>
        <c:crosses val="autoZero"/>
        <c:auto val="1"/>
        <c:lblAlgn val="ctr"/>
        <c:lblOffset val="100"/>
        <c:noMultiLvlLbl val="0"/>
      </c:catAx>
      <c:valAx>
        <c:axId val="1680349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3560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158750</xdr:colOff>
      <xdr:row>4</xdr:row>
      <xdr:rowOff>38100</xdr:rowOff>
    </xdr:from>
    <xdr:to>
      <xdr:col>6</xdr:col>
      <xdr:colOff>342900</xdr:colOff>
      <xdr:row>16</xdr:row>
      <xdr:rowOff>146050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31750</xdr:colOff>
      <xdr:row>3</xdr:row>
      <xdr:rowOff>139700</xdr:rowOff>
    </xdr:from>
    <xdr:to>
      <xdr:col>12</xdr:col>
      <xdr:colOff>596900</xdr:colOff>
      <xdr:row>16</xdr:row>
      <xdr:rowOff>146050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6</xdr:col>
      <xdr:colOff>520700</xdr:colOff>
      <xdr:row>31</xdr:row>
      <xdr:rowOff>177800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50800</xdr:colOff>
      <xdr:row>18</xdr:row>
      <xdr:rowOff>0</xdr:rowOff>
    </xdr:from>
    <xdr:to>
      <xdr:col>14</xdr:col>
      <xdr:colOff>304800</xdr:colOff>
      <xdr:row>31</xdr:row>
      <xdr:rowOff>95250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7</xdr:col>
      <xdr:colOff>304800</xdr:colOff>
      <xdr:row>47</xdr:row>
      <xdr:rowOff>165100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57150</xdr:colOff>
      <xdr:row>33</xdr:row>
      <xdr:rowOff>0</xdr:rowOff>
    </xdr:from>
    <xdr:to>
      <xdr:col>15</xdr:col>
      <xdr:colOff>304800</xdr:colOff>
      <xdr:row>45</xdr:row>
      <xdr:rowOff>139700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14</xdr:col>
      <xdr:colOff>0</xdr:colOff>
      <xdr:row>3</xdr:row>
      <xdr:rowOff>177800</xdr:rowOff>
    </xdr:from>
    <xdr:to>
      <xdr:col>17</xdr:col>
      <xdr:colOff>0</xdr:colOff>
      <xdr:row>17</xdr:row>
      <xdr:rowOff>123825</xdr:rowOff>
    </xdr:to>
    <mc:AlternateContent xmlns:mc="http://schemas.openxmlformats.org/markup-compatibility/2006">
      <mc:Choice xmlns:sle15="http://schemas.microsoft.com/office/drawing/2012/slicer" Requires="sle15">
        <xdr:graphicFrame macro="">
          <xdr:nvGraphicFramePr>
            <xdr:cNvPr id="10"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534400" y="736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426357</xdr:colOff>
      <xdr:row>9</xdr:row>
      <xdr:rowOff>27214</xdr:rowOff>
    </xdr:from>
    <xdr:to>
      <xdr:col>7</xdr:col>
      <xdr:colOff>299356</xdr:colOff>
      <xdr:row>22</xdr:row>
      <xdr:rowOff>95250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322943</xdr:colOff>
      <xdr:row>2</xdr:row>
      <xdr:rowOff>151493</xdr:rowOff>
    </xdr:from>
    <xdr:to>
      <xdr:col>18</xdr:col>
      <xdr:colOff>322943</xdr:colOff>
      <xdr:row>16</xdr:row>
      <xdr:rowOff>82097</xdr:rowOff>
    </xdr:to>
    <mc:AlternateContent xmlns:mc="http://schemas.openxmlformats.org/markup-compatibility/2006">
      <mc:Choice xmlns:a14="http://schemas.microsoft.com/office/drawing/2010/main" Requires="a14">
        <xdr:graphicFrame macro="">
          <xdr:nvGraphicFramePr>
            <xdr:cNvPr id="3"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9439729" y="523422"/>
              <a:ext cx="1823357" cy="2488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81643</xdr:colOff>
      <xdr:row>9</xdr:row>
      <xdr:rowOff>72572</xdr:rowOff>
    </xdr:from>
    <xdr:to>
      <xdr:col>15</xdr:col>
      <xdr:colOff>81642</xdr:colOff>
      <xdr:row>22</xdr:row>
      <xdr:rowOff>78922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444500</xdr:colOff>
      <xdr:row>24</xdr:row>
      <xdr:rowOff>38100</xdr:rowOff>
    </xdr:from>
    <xdr:to>
      <xdr:col>7</xdr:col>
      <xdr:colOff>355600</xdr:colOff>
      <xdr:row>38</xdr:row>
      <xdr:rowOff>31750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38100</xdr:colOff>
      <xdr:row>24</xdr:row>
      <xdr:rowOff>114300</xdr:rowOff>
    </xdr:from>
    <xdr:to>
      <xdr:col>15</xdr:col>
      <xdr:colOff>63500</xdr:colOff>
      <xdr:row>39</xdr:row>
      <xdr:rowOff>127000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42</xdr:row>
      <xdr:rowOff>0</xdr:rowOff>
    </xdr:from>
    <xdr:to>
      <xdr:col>15</xdr:col>
      <xdr:colOff>63500</xdr:colOff>
      <xdr:row>54</xdr:row>
      <xdr:rowOff>139700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312964</xdr:colOff>
      <xdr:row>16</xdr:row>
      <xdr:rowOff>160564</xdr:rowOff>
    </xdr:from>
    <xdr:to>
      <xdr:col>18</xdr:col>
      <xdr:colOff>318407</xdr:colOff>
      <xdr:row>30</xdr:row>
      <xdr:rowOff>144689</xdr:rowOff>
    </xdr:to>
    <mc:AlternateContent xmlns:mc="http://schemas.openxmlformats.org/markup-compatibility/2006">
      <mc:Choice xmlns:a14="http://schemas.microsoft.com/office/drawing/2010/main" Requires="a14">
        <xdr:graphicFrame macro="">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429750" y="309063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539750</xdr:colOff>
      <xdr:row>10</xdr:row>
      <xdr:rowOff>86179</xdr:rowOff>
    </xdr:from>
    <xdr:to>
      <xdr:col>21</xdr:col>
      <xdr:colOff>545193</xdr:colOff>
      <xdr:row>24</xdr:row>
      <xdr:rowOff>70304</xdr:rowOff>
    </xdr:to>
    <mc:AlternateContent xmlns:mc="http://schemas.openxmlformats.org/markup-compatibility/2006">
      <mc:Choice xmlns:a14="http://schemas.microsoft.com/office/drawing/2010/main" Requires="a14">
        <xdr:graphicFrame macro="">
          <xdr:nvGraphicFramePr>
            <xdr:cNvPr id="9"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479893" y="192767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REE RAJ SALES" refreshedDate="46160.557813078703" createdVersion="6" refreshedVersion="6" minRefreshableVersion="3" recordCount="500">
  <cacheSource type="worksheet">
    <worksheetSource name="Table1"/>
  </cacheSource>
  <cacheFields count="13">
    <cacheField name="OrderID" numFmtId="0">
      <sharedItems/>
    </cacheField>
    <cacheField name="Date" numFmtId="0">
      <sharedItems count="28">
        <s v="2025-03-11"/>
        <s v="2025-03-08"/>
        <s v="2025-03-16"/>
        <s v="2025-03-18"/>
        <s v="2025-03-03"/>
        <s v="2025-03-25"/>
        <s v="2025-03-09"/>
        <s v="2025-03-23"/>
        <s v="2025-03-24"/>
        <s v="2025-03-21"/>
        <s v="2025-03-06"/>
        <s v="2025-03-12"/>
        <s v="2025-03-07"/>
        <s v="2025-03-28"/>
        <s v="2025-03-10"/>
        <s v="2025-03-02"/>
        <s v="2025-03-26"/>
        <s v="2025-03-19"/>
        <s v="2025-03-05"/>
        <s v="2025-03-22"/>
        <s v="2025-03-01"/>
        <s v="2025-03-17"/>
        <s v="2025-03-20"/>
        <s v="2025-03-04"/>
        <s v="2025-03-13"/>
        <s v="2025-03-27"/>
        <s v="2025-03-14"/>
        <s v="2025-03-15"/>
      </sharedItems>
    </cacheField>
    <cacheField name="Product" numFmtId="0">
      <sharedItems count="10">
        <s v="Printer"/>
        <s v="Office Desk"/>
        <s v="Mouse"/>
        <s v="Pen Pack"/>
        <s v="Keyboard"/>
        <s v="Notebook"/>
        <s v="Laptop"/>
        <s v="Desk Chair"/>
        <s v="Monitor"/>
        <s v="Backpack"/>
      </sharedItems>
    </cacheField>
    <cacheField name="Category" numFmtId="0">
      <sharedItems count="4">
        <s v="Electronics"/>
        <s v="Furniture"/>
        <s v="Stationery"/>
        <s v="Accessories"/>
      </sharedItems>
    </cacheField>
    <cacheField name="Region" numFmtId="0">
      <sharedItems count="4">
        <s v="South"/>
        <s v="East"/>
        <s v="North"/>
        <s v="West"/>
      </sharedItems>
    </cacheField>
    <cacheField name="City" numFmtId="0">
      <sharedItems count="6">
        <s v="Bangalore"/>
        <s v="Delhi"/>
        <s v="Pune"/>
        <s v="Mumbai"/>
        <s v="Jaipur"/>
        <s v="Ahmedabad"/>
      </sharedItems>
    </cacheField>
    <cacheField name="Salesperson" numFmtId="0">
      <sharedItems count="6">
        <s v="Rahul"/>
        <s v="Karan"/>
        <s v="Priya"/>
        <s v="Sneha"/>
        <s v="Riya"/>
        <s v="Amit"/>
      </sharedItems>
    </cacheField>
    <cacheField name="CustomerType" numFmtId="0">
      <sharedItems count="2">
        <s v="Wholesale"/>
        <s v="Retail"/>
      </sharedItems>
    </cacheField>
    <cacheField name="Quantity" numFmtId="1">
      <sharedItems containsSemiMixedTypes="0" containsString="0" containsNumber="1" containsInteger="1" minValue="1" maxValue="10"/>
    </cacheField>
    <cacheField name="UnitPrice" numFmtId="164">
      <sharedItems containsSemiMixedTypes="0" containsString="0" containsNumber="1" minValue="2.72" maxValue="825.55"/>
    </cacheField>
    <cacheField name="Revenue" numFmtId="164">
      <sharedItems containsSemiMixedTypes="0" containsString="0" containsNumber="1" minValue="2.82" maxValue="7625.5"/>
    </cacheField>
    <cacheField name="Revenue Category" numFmtId="0">
      <sharedItems/>
    </cacheField>
    <cacheField name="Quantity Category"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ORD0001"/>
    <x v="0"/>
    <x v="0"/>
    <x v="0"/>
    <x v="0"/>
    <x v="0"/>
    <x v="0"/>
    <x v="0"/>
    <n v="8"/>
    <n v="164.5"/>
    <n v="1316"/>
    <s v="High"/>
    <s v="Bulk"/>
  </r>
  <r>
    <s v="ORD0002"/>
    <x v="1"/>
    <x v="1"/>
    <x v="1"/>
    <x v="0"/>
    <x v="1"/>
    <x v="1"/>
    <x v="0"/>
    <n v="9"/>
    <n v="287.31"/>
    <n v="2585.79"/>
    <s v="High"/>
    <s v="Bulk"/>
  </r>
  <r>
    <s v="ORD0003"/>
    <x v="2"/>
    <x v="2"/>
    <x v="0"/>
    <x v="0"/>
    <x v="2"/>
    <x v="0"/>
    <x v="1"/>
    <n v="6"/>
    <n v="22.74"/>
    <n v="136.44"/>
    <s v="Low"/>
    <s v="Bulk"/>
  </r>
  <r>
    <s v="ORD0004"/>
    <x v="3"/>
    <x v="3"/>
    <x v="2"/>
    <x v="0"/>
    <x v="3"/>
    <x v="2"/>
    <x v="1"/>
    <n v="3"/>
    <n v="3.27"/>
    <n v="9.81"/>
    <s v="Low"/>
    <s v="Normal"/>
  </r>
  <r>
    <s v="ORD0005"/>
    <x v="4"/>
    <x v="4"/>
    <x v="0"/>
    <x v="1"/>
    <x v="4"/>
    <x v="0"/>
    <x v="0"/>
    <n v="6"/>
    <n v="33.67"/>
    <n v="202.02"/>
    <s v="Low"/>
    <s v="Bulk"/>
  </r>
  <r>
    <s v="ORD0006"/>
    <x v="5"/>
    <x v="5"/>
    <x v="2"/>
    <x v="2"/>
    <x v="0"/>
    <x v="3"/>
    <x v="0"/>
    <n v="9"/>
    <n v="4.5"/>
    <n v="40.5"/>
    <s v="Low"/>
    <s v="Bulk"/>
  </r>
  <r>
    <s v="ORD0007"/>
    <x v="4"/>
    <x v="4"/>
    <x v="0"/>
    <x v="1"/>
    <x v="5"/>
    <x v="4"/>
    <x v="0"/>
    <n v="3"/>
    <n v="37.24"/>
    <n v="111.72"/>
    <s v="Low"/>
    <s v="Normal"/>
  </r>
  <r>
    <s v="ORD0008"/>
    <x v="6"/>
    <x v="0"/>
    <x v="0"/>
    <x v="2"/>
    <x v="4"/>
    <x v="2"/>
    <x v="1"/>
    <n v="3"/>
    <n v="165.41"/>
    <n v="496.23"/>
    <s v="Low"/>
    <s v="Normal"/>
  </r>
  <r>
    <s v="ORD0009"/>
    <x v="7"/>
    <x v="3"/>
    <x v="2"/>
    <x v="0"/>
    <x v="1"/>
    <x v="1"/>
    <x v="0"/>
    <n v="1"/>
    <n v="2.86"/>
    <n v="2.86"/>
    <s v="Low"/>
    <s v="Normal"/>
  </r>
  <r>
    <s v="ORD0010"/>
    <x v="8"/>
    <x v="6"/>
    <x v="0"/>
    <x v="1"/>
    <x v="5"/>
    <x v="2"/>
    <x v="1"/>
    <n v="6"/>
    <n v="730.62"/>
    <n v="4383.72"/>
    <s v="High"/>
    <s v="Bulk"/>
  </r>
  <r>
    <s v="ORD0011"/>
    <x v="9"/>
    <x v="7"/>
    <x v="1"/>
    <x v="2"/>
    <x v="3"/>
    <x v="3"/>
    <x v="0"/>
    <n v="3"/>
    <n v="117.86"/>
    <n v="353.58"/>
    <s v="Low"/>
    <s v="Normal"/>
  </r>
  <r>
    <s v="ORD0012"/>
    <x v="10"/>
    <x v="8"/>
    <x v="0"/>
    <x v="0"/>
    <x v="1"/>
    <x v="4"/>
    <x v="1"/>
    <n v="8"/>
    <n v="196.14"/>
    <n v="1569.12"/>
    <s v="High"/>
    <s v="Bulk"/>
  </r>
  <r>
    <s v="ORD0013"/>
    <x v="6"/>
    <x v="0"/>
    <x v="0"/>
    <x v="3"/>
    <x v="3"/>
    <x v="3"/>
    <x v="1"/>
    <n v="4"/>
    <n v="140.99"/>
    <n v="563.96"/>
    <s v="Low"/>
    <s v="Normal"/>
  </r>
  <r>
    <s v="ORD0014"/>
    <x v="11"/>
    <x v="9"/>
    <x v="3"/>
    <x v="3"/>
    <x v="5"/>
    <x v="0"/>
    <x v="1"/>
    <n v="9"/>
    <n v="45.17"/>
    <n v="406.53"/>
    <s v="Low"/>
    <s v="Bulk"/>
  </r>
  <r>
    <s v="ORD0015"/>
    <x v="12"/>
    <x v="5"/>
    <x v="2"/>
    <x v="3"/>
    <x v="4"/>
    <x v="1"/>
    <x v="0"/>
    <n v="4"/>
    <n v="5.53"/>
    <n v="22.12"/>
    <s v="Low"/>
    <s v="Normal"/>
  </r>
  <r>
    <s v="ORD0016"/>
    <x v="13"/>
    <x v="4"/>
    <x v="0"/>
    <x v="1"/>
    <x v="4"/>
    <x v="0"/>
    <x v="1"/>
    <n v="8"/>
    <n v="32.29"/>
    <n v="258.32"/>
    <s v="Low"/>
    <s v="Bulk"/>
  </r>
  <r>
    <s v="ORD0017"/>
    <x v="14"/>
    <x v="1"/>
    <x v="1"/>
    <x v="3"/>
    <x v="4"/>
    <x v="5"/>
    <x v="1"/>
    <n v="5"/>
    <n v="254.15"/>
    <n v="1270.75"/>
    <s v="High"/>
    <s v="Bulk"/>
  </r>
  <r>
    <s v="ORD0018"/>
    <x v="9"/>
    <x v="2"/>
    <x v="0"/>
    <x v="2"/>
    <x v="3"/>
    <x v="4"/>
    <x v="1"/>
    <n v="1"/>
    <n v="21.48"/>
    <n v="21.48"/>
    <s v="Low"/>
    <s v="Normal"/>
  </r>
  <r>
    <s v="ORD0019"/>
    <x v="15"/>
    <x v="5"/>
    <x v="2"/>
    <x v="3"/>
    <x v="5"/>
    <x v="5"/>
    <x v="0"/>
    <n v="4"/>
    <n v="5.78"/>
    <n v="23.12"/>
    <s v="Low"/>
    <s v="Normal"/>
  </r>
  <r>
    <s v="ORD0020"/>
    <x v="5"/>
    <x v="3"/>
    <x v="2"/>
    <x v="0"/>
    <x v="5"/>
    <x v="0"/>
    <x v="1"/>
    <n v="1"/>
    <n v="3.52"/>
    <n v="3.52"/>
    <s v="Low"/>
    <s v="Normal"/>
  </r>
  <r>
    <s v="ORD0021"/>
    <x v="12"/>
    <x v="9"/>
    <x v="3"/>
    <x v="1"/>
    <x v="2"/>
    <x v="0"/>
    <x v="0"/>
    <n v="4"/>
    <n v="43.68"/>
    <n v="174.72"/>
    <s v="Low"/>
    <s v="Normal"/>
  </r>
  <r>
    <s v="ORD0022"/>
    <x v="12"/>
    <x v="1"/>
    <x v="1"/>
    <x v="0"/>
    <x v="1"/>
    <x v="0"/>
    <x v="1"/>
    <n v="6"/>
    <n v="256.16000000000003"/>
    <n v="1536.96"/>
    <s v="High"/>
    <s v="Bulk"/>
  </r>
  <r>
    <s v="ORD0023"/>
    <x v="2"/>
    <x v="4"/>
    <x v="0"/>
    <x v="0"/>
    <x v="3"/>
    <x v="4"/>
    <x v="1"/>
    <n v="5"/>
    <n v="39.76"/>
    <n v="198.8"/>
    <s v="Low"/>
    <s v="Bulk"/>
  </r>
  <r>
    <s v="ORD0024"/>
    <x v="0"/>
    <x v="7"/>
    <x v="1"/>
    <x v="3"/>
    <x v="2"/>
    <x v="3"/>
    <x v="0"/>
    <n v="9"/>
    <n v="125.67"/>
    <n v="1131.03"/>
    <s v="High"/>
    <s v="Bulk"/>
  </r>
  <r>
    <s v="ORD0025"/>
    <x v="16"/>
    <x v="9"/>
    <x v="3"/>
    <x v="2"/>
    <x v="3"/>
    <x v="2"/>
    <x v="0"/>
    <n v="1"/>
    <n v="41.99"/>
    <n v="41.99"/>
    <s v="Low"/>
    <s v="Normal"/>
  </r>
  <r>
    <s v="ORD0026"/>
    <x v="12"/>
    <x v="0"/>
    <x v="0"/>
    <x v="2"/>
    <x v="2"/>
    <x v="3"/>
    <x v="0"/>
    <n v="6"/>
    <n v="151.05000000000001"/>
    <n v="906.3"/>
    <s v="Low"/>
    <s v="Bulk"/>
  </r>
  <r>
    <s v="ORD0027"/>
    <x v="13"/>
    <x v="0"/>
    <x v="0"/>
    <x v="3"/>
    <x v="4"/>
    <x v="1"/>
    <x v="0"/>
    <n v="1"/>
    <n v="161.69999999999999"/>
    <n v="161.69999999999999"/>
    <s v="Low"/>
    <s v="Normal"/>
  </r>
  <r>
    <s v="ORD0028"/>
    <x v="17"/>
    <x v="3"/>
    <x v="2"/>
    <x v="3"/>
    <x v="0"/>
    <x v="3"/>
    <x v="1"/>
    <n v="1"/>
    <n v="3.06"/>
    <n v="3.06"/>
    <s v="Low"/>
    <s v="Normal"/>
  </r>
  <r>
    <s v="ORD0029"/>
    <x v="18"/>
    <x v="3"/>
    <x v="2"/>
    <x v="1"/>
    <x v="0"/>
    <x v="3"/>
    <x v="1"/>
    <n v="10"/>
    <n v="3.07"/>
    <n v="30.7"/>
    <s v="Low"/>
    <s v="Bulk"/>
  </r>
  <r>
    <s v="ORD0030"/>
    <x v="16"/>
    <x v="1"/>
    <x v="1"/>
    <x v="3"/>
    <x v="4"/>
    <x v="2"/>
    <x v="0"/>
    <n v="4"/>
    <n v="298.12"/>
    <n v="1192.48"/>
    <s v="High"/>
    <s v="Normal"/>
  </r>
  <r>
    <s v="ORD0031"/>
    <x v="0"/>
    <x v="7"/>
    <x v="1"/>
    <x v="3"/>
    <x v="3"/>
    <x v="4"/>
    <x v="0"/>
    <n v="4"/>
    <n v="141.11000000000001"/>
    <n v="564.44000000000005"/>
    <s v="Low"/>
    <s v="Normal"/>
  </r>
  <r>
    <s v="ORD0032"/>
    <x v="19"/>
    <x v="6"/>
    <x v="0"/>
    <x v="3"/>
    <x v="2"/>
    <x v="3"/>
    <x v="0"/>
    <n v="9"/>
    <n v="780.05"/>
    <n v="7020.45"/>
    <s v="High"/>
    <s v="Bulk"/>
  </r>
  <r>
    <s v="ORD0033"/>
    <x v="8"/>
    <x v="6"/>
    <x v="0"/>
    <x v="0"/>
    <x v="2"/>
    <x v="4"/>
    <x v="0"/>
    <n v="4"/>
    <n v="820.56"/>
    <n v="3282.24"/>
    <s v="High"/>
    <s v="Normal"/>
  </r>
  <r>
    <s v="ORD0034"/>
    <x v="20"/>
    <x v="9"/>
    <x v="3"/>
    <x v="0"/>
    <x v="4"/>
    <x v="4"/>
    <x v="0"/>
    <n v="5"/>
    <n v="36.270000000000003"/>
    <n v="181.35"/>
    <s v="Low"/>
    <s v="Bulk"/>
  </r>
  <r>
    <s v="ORD0035"/>
    <x v="19"/>
    <x v="1"/>
    <x v="1"/>
    <x v="0"/>
    <x v="4"/>
    <x v="4"/>
    <x v="1"/>
    <n v="9"/>
    <n v="235.22"/>
    <n v="2116.98"/>
    <s v="High"/>
    <s v="Bulk"/>
  </r>
  <r>
    <s v="ORD0036"/>
    <x v="16"/>
    <x v="7"/>
    <x v="1"/>
    <x v="3"/>
    <x v="2"/>
    <x v="2"/>
    <x v="1"/>
    <n v="5"/>
    <n v="110.89"/>
    <n v="554.45000000000005"/>
    <s v="Low"/>
    <s v="Bulk"/>
  </r>
  <r>
    <s v="ORD0037"/>
    <x v="11"/>
    <x v="3"/>
    <x v="2"/>
    <x v="2"/>
    <x v="4"/>
    <x v="5"/>
    <x v="1"/>
    <n v="4"/>
    <n v="3.14"/>
    <n v="12.56"/>
    <s v="Low"/>
    <s v="Normal"/>
  </r>
  <r>
    <s v="ORD0038"/>
    <x v="21"/>
    <x v="9"/>
    <x v="3"/>
    <x v="3"/>
    <x v="5"/>
    <x v="1"/>
    <x v="0"/>
    <n v="10"/>
    <n v="45.76"/>
    <n v="457.6"/>
    <s v="Low"/>
    <s v="Bulk"/>
  </r>
  <r>
    <s v="ORD0039"/>
    <x v="1"/>
    <x v="3"/>
    <x v="2"/>
    <x v="1"/>
    <x v="0"/>
    <x v="3"/>
    <x v="1"/>
    <n v="3"/>
    <n v="3"/>
    <n v="9"/>
    <s v="Low"/>
    <s v="Normal"/>
  </r>
  <r>
    <s v="ORD0040"/>
    <x v="16"/>
    <x v="2"/>
    <x v="0"/>
    <x v="0"/>
    <x v="5"/>
    <x v="1"/>
    <x v="1"/>
    <n v="1"/>
    <n v="21.46"/>
    <n v="21.46"/>
    <s v="Low"/>
    <s v="Normal"/>
  </r>
  <r>
    <s v="ORD0041"/>
    <x v="9"/>
    <x v="7"/>
    <x v="1"/>
    <x v="2"/>
    <x v="4"/>
    <x v="2"/>
    <x v="1"/>
    <n v="7"/>
    <n v="123.11"/>
    <n v="861.77"/>
    <s v="Low"/>
    <s v="Bulk"/>
  </r>
  <r>
    <s v="ORD0042"/>
    <x v="22"/>
    <x v="3"/>
    <x v="2"/>
    <x v="0"/>
    <x v="0"/>
    <x v="2"/>
    <x v="0"/>
    <n v="9"/>
    <n v="3.36"/>
    <n v="30.24"/>
    <s v="Low"/>
    <s v="Bulk"/>
  </r>
  <r>
    <s v="ORD0043"/>
    <x v="20"/>
    <x v="4"/>
    <x v="0"/>
    <x v="2"/>
    <x v="3"/>
    <x v="0"/>
    <x v="0"/>
    <n v="5"/>
    <n v="39.299999999999997"/>
    <n v="196.5"/>
    <s v="Low"/>
    <s v="Bulk"/>
  </r>
  <r>
    <s v="ORD0044"/>
    <x v="0"/>
    <x v="7"/>
    <x v="1"/>
    <x v="3"/>
    <x v="1"/>
    <x v="4"/>
    <x v="1"/>
    <n v="1"/>
    <n v="135.72"/>
    <n v="135.72"/>
    <s v="Low"/>
    <s v="Normal"/>
  </r>
  <r>
    <s v="ORD0045"/>
    <x v="23"/>
    <x v="3"/>
    <x v="2"/>
    <x v="2"/>
    <x v="2"/>
    <x v="4"/>
    <x v="0"/>
    <n v="7"/>
    <n v="2.92"/>
    <n v="20.440000000000001"/>
    <s v="Low"/>
    <s v="Bulk"/>
  </r>
  <r>
    <s v="ORD0046"/>
    <x v="14"/>
    <x v="2"/>
    <x v="0"/>
    <x v="0"/>
    <x v="3"/>
    <x v="3"/>
    <x v="1"/>
    <n v="8"/>
    <n v="22.99"/>
    <n v="183.92"/>
    <s v="Low"/>
    <s v="Bulk"/>
  </r>
  <r>
    <s v="ORD0047"/>
    <x v="16"/>
    <x v="0"/>
    <x v="0"/>
    <x v="0"/>
    <x v="4"/>
    <x v="2"/>
    <x v="0"/>
    <n v="3"/>
    <n v="159.76"/>
    <n v="479.28"/>
    <s v="Low"/>
    <s v="Normal"/>
  </r>
  <r>
    <s v="ORD0048"/>
    <x v="18"/>
    <x v="2"/>
    <x v="0"/>
    <x v="2"/>
    <x v="2"/>
    <x v="2"/>
    <x v="0"/>
    <n v="3"/>
    <n v="22.51"/>
    <n v="67.53"/>
    <s v="Low"/>
    <s v="Normal"/>
  </r>
  <r>
    <s v="ORD0049"/>
    <x v="5"/>
    <x v="0"/>
    <x v="0"/>
    <x v="3"/>
    <x v="5"/>
    <x v="5"/>
    <x v="0"/>
    <n v="5"/>
    <n v="160.86000000000001"/>
    <n v="804.3"/>
    <s v="Low"/>
    <s v="Bulk"/>
  </r>
  <r>
    <s v="ORD0050"/>
    <x v="16"/>
    <x v="7"/>
    <x v="1"/>
    <x v="2"/>
    <x v="1"/>
    <x v="2"/>
    <x v="1"/>
    <n v="5"/>
    <n v="123.24"/>
    <n v="616.20000000000005"/>
    <s v="Low"/>
    <s v="Bulk"/>
  </r>
  <r>
    <s v="ORD0051"/>
    <x v="24"/>
    <x v="6"/>
    <x v="0"/>
    <x v="2"/>
    <x v="2"/>
    <x v="4"/>
    <x v="1"/>
    <n v="5"/>
    <n v="704.06"/>
    <n v="3520.3"/>
    <s v="High"/>
    <s v="Bulk"/>
  </r>
  <r>
    <s v="ORD0052"/>
    <x v="5"/>
    <x v="9"/>
    <x v="3"/>
    <x v="1"/>
    <x v="1"/>
    <x v="1"/>
    <x v="1"/>
    <n v="10"/>
    <n v="41.95"/>
    <n v="419.5"/>
    <s v="Low"/>
    <s v="Bulk"/>
  </r>
  <r>
    <s v="ORD0053"/>
    <x v="13"/>
    <x v="6"/>
    <x v="0"/>
    <x v="0"/>
    <x v="0"/>
    <x v="5"/>
    <x v="1"/>
    <n v="3"/>
    <n v="823.3"/>
    <n v="2469.9"/>
    <s v="High"/>
    <s v="Normal"/>
  </r>
  <r>
    <s v="ORD0054"/>
    <x v="2"/>
    <x v="0"/>
    <x v="0"/>
    <x v="1"/>
    <x v="1"/>
    <x v="4"/>
    <x v="0"/>
    <n v="5"/>
    <n v="176.03"/>
    <n v="880.15"/>
    <s v="Low"/>
    <s v="Bulk"/>
  </r>
  <r>
    <s v="ORD0055"/>
    <x v="3"/>
    <x v="9"/>
    <x v="3"/>
    <x v="2"/>
    <x v="1"/>
    <x v="3"/>
    <x v="0"/>
    <n v="1"/>
    <n v="37.31"/>
    <n v="37.31"/>
    <s v="Low"/>
    <s v="Normal"/>
  </r>
  <r>
    <s v="ORD0056"/>
    <x v="25"/>
    <x v="2"/>
    <x v="0"/>
    <x v="0"/>
    <x v="4"/>
    <x v="1"/>
    <x v="1"/>
    <n v="10"/>
    <n v="22.51"/>
    <n v="225.1"/>
    <s v="Low"/>
    <s v="Bulk"/>
  </r>
  <r>
    <s v="ORD0057"/>
    <x v="13"/>
    <x v="3"/>
    <x v="2"/>
    <x v="1"/>
    <x v="4"/>
    <x v="2"/>
    <x v="1"/>
    <n v="9"/>
    <n v="3.57"/>
    <n v="32.130000000000003"/>
    <s v="Low"/>
    <s v="Bulk"/>
  </r>
  <r>
    <s v="ORD0058"/>
    <x v="7"/>
    <x v="1"/>
    <x v="1"/>
    <x v="1"/>
    <x v="2"/>
    <x v="0"/>
    <x v="1"/>
    <n v="1"/>
    <n v="298.38"/>
    <n v="298.38"/>
    <s v="Low"/>
    <s v="Normal"/>
  </r>
  <r>
    <s v="ORD0059"/>
    <x v="26"/>
    <x v="9"/>
    <x v="3"/>
    <x v="0"/>
    <x v="5"/>
    <x v="4"/>
    <x v="0"/>
    <n v="9"/>
    <n v="36.1"/>
    <n v="324.89999999999998"/>
    <s v="Low"/>
    <s v="Bulk"/>
  </r>
  <r>
    <s v="ORD0060"/>
    <x v="21"/>
    <x v="0"/>
    <x v="0"/>
    <x v="0"/>
    <x v="4"/>
    <x v="0"/>
    <x v="0"/>
    <n v="4"/>
    <n v="169.34"/>
    <n v="677.36"/>
    <s v="Low"/>
    <s v="Normal"/>
  </r>
  <r>
    <s v="ORD0061"/>
    <x v="23"/>
    <x v="4"/>
    <x v="0"/>
    <x v="0"/>
    <x v="4"/>
    <x v="1"/>
    <x v="0"/>
    <n v="8"/>
    <n v="36.21"/>
    <n v="289.68"/>
    <s v="Low"/>
    <s v="Bulk"/>
  </r>
  <r>
    <s v="ORD0062"/>
    <x v="6"/>
    <x v="9"/>
    <x v="3"/>
    <x v="2"/>
    <x v="4"/>
    <x v="4"/>
    <x v="0"/>
    <n v="8"/>
    <n v="42.52"/>
    <n v="340.16"/>
    <s v="Low"/>
    <s v="Bulk"/>
  </r>
  <r>
    <s v="ORD0063"/>
    <x v="6"/>
    <x v="5"/>
    <x v="2"/>
    <x v="0"/>
    <x v="2"/>
    <x v="5"/>
    <x v="0"/>
    <n v="9"/>
    <n v="4.58"/>
    <n v="41.22"/>
    <s v="Low"/>
    <s v="Bulk"/>
  </r>
  <r>
    <s v="ORD0064"/>
    <x v="12"/>
    <x v="2"/>
    <x v="0"/>
    <x v="3"/>
    <x v="1"/>
    <x v="4"/>
    <x v="0"/>
    <n v="9"/>
    <n v="19.73"/>
    <n v="177.57"/>
    <s v="Low"/>
    <s v="Bulk"/>
  </r>
  <r>
    <s v="ORD0065"/>
    <x v="4"/>
    <x v="4"/>
    <x v="0"/>
    <x v="0"/>
    <x v="1"/>
    <x v="3"/>
    <x v="0"/>
    <n v="10"/>
    <n v="37.32"/>
    <n v="373.2"/>
    <s v="Low"/>
    <s v="Bulk"/>
  </r>
  <r>
    <s v="ORD0066"/>
    <x v="23"/>
    <x v="4"/>
    <x v="0"/>
    <x v="0"/>
    <x v="0"/>
    <x v="2"/>
    <x v="1"/>
    <n v="2"/>
    <n v="33.61"/>
    <n v="67.22"/>
    <s v="Low"/>
    <s v="Normal"/>
  </r>
  <r>
    <s v="ORD0067"/>
    <x v="3"/>
    <x v="0"/>
    <x v="0"/>
    <x v="0"/>
    <x v="2"/>
    <x v="4"/>
    <x v="0"/>
    <n v="6"/>
    <n v="144.82"/>
    <n v="868.92"/>
    <s v="Low"/>
    <s v="Bulk"/>
  </r>
  <r>
    <s v="ORD0068"/>
    <x v="24"/>
    <x v="8"/>
    <x v="0"/>
    <x v="1"/>
    <x v="2"/>
    <x v="0"/>
    <x v="1"/>
    <n v="3"/>
    <n v="166.95"/>
    <n v="500.85"/>
    <s v="Low"/>
    <s v="Normal"/>
  </r>
  <r>
    <s v="ORD0069"/>
    <x v="21"/>
    <x v="9"/>
    <x v="3"/>
    <x v="3"/>
    <x v="1"/>
    <x v="1"/>
    <x v="0"/>
    <n v="1"/>
    <n v="37.21"/>
    <n v="37.21"/>
    <s v="Low"/>
    <s v="Normal"/>
  </r>
  <r>
    <s v="ORD0070"/>
    <x v="11"/>
    <x v="1"/>
    <x v="1"/>
    <x v="2"/>
    <x v="2"/>
    <x v="1"/>
    <x v="0"/>
    <n v="7"/>
    <n v="260.10000000000002"/>
    <n v="1820.7"/>
    <s v="High"/>
    <s v="Bulk"/>
  </r>
  <r>
    <s v="ORD0071"/>
    <x v="1"/>
    <x v="2"/>
    <x v="0"/>
    <x v="1"/>
    <x v="1"/>
    <x v="2"/>
    <x v="1"/>
    <n v="1"/>
    <n v="23.67"/>
    <n v="23.67"/>
    <s v="Low"/>
    <s v="Normal"/>
  </r>
  <r>
    <s v="ORD0072"/>
    <x v="18"/>
    <x v="6"/>
    <x v="0"/>
    <x v="3"/>
    <x v="2"/>
    <x v="2"/>
    <x v="0"/>
    <n v="5"/>
    <n v="707.05"/>
    <n v="3535.25"/>
    <s v="High"/>
    <s v="Bulk"/>
  </r>
  <r>
    <s v="ORD0073"/>
    <x v="8"/>
    <x v="2"/>
    <x v="0"/>
    <x v="3"/>
    <x v="5"/>
    <x v="1"/>
    <x v="0"/>
    <n v="2"/>
    <n v="22.17"/>
    <n v="44.34"/>
    <s v="Low"/>
    <s v="Normal"/>
  </r>
  <r>
    <s v="ORD0074"/>
    <x v="9"/>
    <x v="3"/>
    <x v="2"/>
    <x v="0"/>
    <x v="3"/>
    <x v="4"/>
    <x v="1"/>
    <n v="6"/>
    <n v="3.07"/>
    <n v="18.420000000000002"/>
    <s v="Low"/>
    <s v="Bulk"/>
  </r>
  <r>
    <s v="ORD0075"/>
    <x v="18"/>
    <x v="3"/>
    <x v="2"/>
    <x v="3"/>
    <x v="2"/>
    <x v="4"/>
    <x v="0"/>
    <n v="2"/>
    <n v="3.24"/>
    <n v="6.48"/>
    <s v="Low"/>
    <s v="Normal"/>
  </r>
  <r>
    <s v="ORD0076"/>
    <x v="8"/>
    <x v="8"/>
    <x v="0"/>
    <x v="3"/>
    <x v="5"/>
    <x v="4"/>
    <x v="0"/>
    <n v="8"/>
    <n v="198.01"/>
    <n v="1584.08"/>
    <s v="High"/>
    <s v="Bulk"/>
  </r>
  <r>
    <s v="ORD0077"/>
    <x v="27"/>
    <x v="1"/>
    <x v="1"/>
    <x v="2"/>
    <x v="5"/>
    <x v="0"/>
    <x v="1"/>
    <n v="5"/>
    <n v="253.65"/>
    <n v="1268.25"/>
    <s v="High"/>
    <s v="Bulk"/>
  </r>
  <r>
    <s v="ORD0078"/>
    <x v="27"/>
    <x v="5"/>
    <x v="2"/>
    <x v="1"/>
    <x v="4"/>
    <x v="1"/>
    <x v="1"/>
    <n v="8"/>
    <n v="5.76"/>
    <n v="46.08"/>
    <s v="Low"/>
    <s v="Bulk"/>
  </r>
  <r>
    <s v="ORD0079"/>
    <x v="10"/>
    <x v="5"/>
    <x v="2"/>
    <x v="2"/>
    <x v="5"/>
    <x v="4"/>
    <x v="1"/>
    <n v="3"/>
    <n v="5.26"/>
    <n v="15.78"/>
    <s v="Low"/>
    <s v="Normal"/>
  </r>
  <r>
    <s v="ORD0080"/>
    <x v="4"/>
    <x v="6"/>
    <x v="0"/>
    <x v="1"/>
    <x v="1"/>
    <x v="4"/>
    <x v="0"/>
    <n v="7"/>
    <n v="644.57000000000005"/>
    <n v="4511.99"/>
    <s v="High"/>
    <s v="Bulk"/>
  </r>
  <r>
    <s v="ORD0081"/>
    <x v="17"/>
    <x v="7"/>
    <x v="1"/>
    <x v="1"/>
    <x v="0"/>
    <x v="0"/>
    <x v="0"/>
    <n v="7"/>
    <n v="142.66999999999999"/>
    <n v="998.69"/>
    <s v="Low"/>
    <s v="Bulk"/>
  </r>
  <r>
    <s v="ORD0082"/>
    <x v="12"/>
    <x v="7"/>
    <x v="1"/>
    <x v="0"/>
    <x v="1"/>
    <x v="5"/>
    <x v="0"/>
    <n v="10"/>
    <n v="137.68"/>
    <n v="1376.8"/>
    <s v="High"/>
    <s v="Bulk"/>
  </r>
  <r>
    <s v="ORD0083"/>
    <x v="3"/>
    <x v="8"/>
    <x v="0"/>
    <x v="0"/>
    <x v="4"/>
    <x v="2"/>
    <x v="1"/>
    <n v="9"/>
    <n v="202.47"/>
    <n v="1822.23"/>
    <s v="High"/>
    <s v="Bulk"/>
  </r>
  <r>
    <s v="ORD0084"/>
    <x v="3"/>
    <x v="8"/>
    <x v="0"/>
    <x v="1"/>
    <x v="2"/>
    <x v="0"/>
    <x v="0"/>
    <n v="3"/>
    <n v="199.81"/>
    <n v="599.42999999999995"/>
    <s v="Low"/>
    <s v="Normal"/>
  </r>
  <r>
    <s v="ORD0085"/>
    <x v="18"/>
    <x v="3"/>
    <x v="2"/>
    <x v="2"/>
    <x v="5"/>
    <x v="1"/>
    <x v="1"/>
    <n v="2"/>
    <n v="3.27"/>
    <n v="6.54"/>
    <s v="Low"/>
    <s v="Normal"/>
  </r>
  <r>
    <s v="ORD0086"/>
    <x v="23"/>
    <x v="6"/>
    <x v="0"/>
    <x v="3"/>
    <x v="0"/>
    <x v="1"/>
    <x v="0"/>
    <n v="6"/>
    <n v="799.35"/>
    <n v="4796.1000000000004"/>
    <s v="High"/>
    <s v="Bulk"/>
  </r>
  <r>
    <s v="ORD0087"/>
    <x v="17"/>
    <x v="1"/>
    <x v="1"/>
    <x v="1"/>
    <x v="3"/>
    <x v="1"/>
    <x v="1"/>
    <n v="8"/>
    <n v="289.05"/>
    <n v="2312.4"/>
    <s v="High"/>
    <s v="Bulk"/>
  </r>
  <r>
    <s v="ORD0088"/>
    <x v="24"/>
    <x v="7"/>
    <x v="1"/>
    <x v="3"/>
    <x v="2"/>
    <x v="1"/>
    <x v="1"/>
    <n v="5"/>
    <n v="116.65"/>
    <n v="583.25"/>
    <s v="Low"/>
    <s v="Bulk"/>
  </r>
  <r>
    <s v="ORD0089"/>
    <x v="15"/>
    <x v="3"/>
    <x v="2"/>
    <x v="0"/>
    <x v="3"/>
    <x v="2"/>
    <x v="0"/>
    <n v="6"/>
    <n v="3.23"/>
    <n v="19.38"/>
    <s v="Low"/>
    <s v="Bulk"/>
  </r>
  <r>
    <s v="ORD0090"/>
    <x v="23"/>
    <x v="6"/>
    <x v="0"/>
    <x v="0"/>
    <x v="4"/>
    <x v="5"/>
    <x v="0"/>
    <n v="2"/>
    <n v="689.98"/>
    <n v="1379.96"/>
    <s v="High"/>
    <s v="Normal"/>
  </r>
  <r>
    <s v="ORD0091"/>
    <x v="18"/>
    <x v="9"/>
    <x v="3"/>
    <x v="1"/>
    <x v="3"/>
    <x v="5"/>
    <x v="1"/>
    <n v="9"/>
    <n v="39.700000000000003"/>
    <n v="357.3"/>
    <s v="Low"/>
    <s v="Bulk"/>
  </r>
  <r>
    <s v="ORD0092"/>
    <x v="6"/>
    <x v="7"/>
    <x v="1"/>
    <x v="1"/>
    <x v="0"/>
    <x v="2"/>
    <x v="0"/>
    <n v="10"/>
    <n v="127.4"/>
    <n v="1274"/>
    <s v="High"/>
    <s v="Bulk"/>
  </r>
  <r>
    <s v="ORD0093"/>
    <x v="18"/>
    <x v="3"/>
    <x v="2"/>
    <x v="1"/>
    <x v="0"/>
    <x v="0"/>
    <x v="0"/>
    <n v="10"/>
    <n v="3.11"/>
    <n v="31.1"/>
    <s v="Low"/>
    <s v="Bulk"/>
  </r>
  <r>
    <s v="ORD0094"/>
    <x v="6"/>
    <x v="2"/>
    <x v="0"/>
    <x v="0"/>
    <x v="0"/>
    <x v="5"/>
    <x v="1"/>
    <n v="10"/>
    <n v="22.97"/>
    <n v="229.7"/>
    <s v="Low"/>
    <s v="Bulk"/>
  </r>
  <r>
    <s v="ORD0095"/>
    <x v="15"/>
    <x v="6"/>
    <x v="0"/>
    <x v="0"/>
    <x v="4"/>
    <x v="3"/>
    <x v="0"/>
    <n v="10"/>
    <n v="730.98"/>
    <n v="7309.8"/>
    <s v="High"/>
    <s v="Bulk"/>
  </r>
  <r>
    <s v="ORD0096"/>
    <x v="2"/>
    <x v="0"/>
    <x v="0"/>
    <x v="2"/>
    <x v="3"/>
    <x v="0"/>
    <x v="0"/>
    <n v="5"/>
    <n v="164.26"/>
    <n v="821.3"/>
    <s v="Low"/>
    <s v="Bulk"/>
  </r>
  <r>
    <s v="ORD0097"/>
    <x v="17"/>
    <x v="1"/>
    <x v="1"/>
    <x v="1"/>
    <x v="5"/>
    <x v="0"/>
    <x v="0"/>
    <n v="8"/>
    <n v="239.07"/>
    <n v="1912.56"/>
    <s v="High"/>
    <s v="Bulk"/>
  </r>
  <r>
    <s v="ORD0098"/>
    <x v="0"/>
    <x v="3"/>
    <x v="2"/>
    <x v="1"/>
    <x v="3"/>
    <x v="3"/>
    <x v="1"/>
    <n v="4"/>
    <n v="3.36"/>
    <n v="13.44"/>
    <s v="Low"/>
    <s v="Normal"/>
  </r>
  <r>
    <s v="ORD0099"/>
    <x v="17"/>
    <x v="4"/>
    <x v="0"/>
    <x v="3"/>
    <x v="0"/>
    <x v="3"/>
    <x v="0"/>
    <n v="8"/>
    <n v="33.35"/>
    <n v="266.8"/>
    <s v="Low"/>
    <s v="Bulk"/>
  </r>
  <r>
    <s v="ORD0100"/>
    <x v="22"/>
    <x v="3"/>
    <x v="2"/>
    <x v="1"/>
    <x v="2"/>
    <x v="4"/>
    <x v="0"/>
    <n v="2"/>
    <n v="3.34"/>
    <n v="6.68"/>
    <s v="Low"/>
    <s v="Normal"/>
  </r>
  <r>
    <s v="ORD0101"/>
    <x v="1"/>
    <x v="9"/>
    <x v="3"/>
    <x v="3"/>
    <x v="0"/>
    <x v="4"/>
    <x v="0"/>
    <n v="4"/>
    <n v="38.65"/>
    <n v="154.6"/>
    <s v="Low"/>
    <s v="Normal"/>
  </r>
  <r>
    <s v="ORD0102"/>
    <x v="13"/>
    <x v="1"/>
    <x v="1"/>
    <x v="0"/>
    <x v="3"/>
    <x v="2"/>
    <x v="0"/>
    <n v="4"/>
    <n v="268.02999999999997"/>
    <n v="1072.1199999999999"/>
    <s v="High"/>
    <s v="Normal"/>
  </r>
  <r>
    <s v="ORD0103"/>
    <x v="13"/>
    <x v="9"/>
    <x v="3"/>
    <x v="3"/>
    <x v="2"/>
    <x v="0"/>
    <x v="1"/>
    <n v="8"/>
    <n v="37.86"/>
    <n v="302.88"/>
    <s v="Low"/>
    <s v="Bulk"/>
  </r>
  <r>
    <s v="ORD0104"/>
    <x v="24"/>
    <x v="0"/>
    <x v="0"/>
    <x v="2"/>
    <x v="5"/>
    <x v="3"/>
    <x v="0"/>
    <n v="9"/>
    <n v="153.59"/>
    <n v="1382.31"/>
    <s v="High"/>
    <s v="Bulk"/>
  </r>
  <r>
    <s v="ORD0105"/>
    <x v="0"/>
    <x v="7"/>
    <x v="1"/>
    <x v="0"/>
    <x v="3"/>
    <x v="3"/>
    <x v="0"/>
    <n v="4"/>
    <n v="118.74"/>
    <n v="474.96"/>
    <s v="Low"/>
    <s v="Normal"/>
  </r>
  <r>
    <s v="ORD0106"/>
    <x v="10"/>
    <x v="4"/>
    <x v="0"/>
    <x v="2"/>
    <x v="4"/>
    <x v="2"/>
    <x v="1"/>
    <n v="9"/>
    <n v="36.31"/>
    <n v="326.79000000000002"/>
    <s v="Low"/>
    <s v="Bulk"/>
  </r>
  <r>
    <s v="ORD0107"/>
    <x v="24"/>
    <x v="3"/>
    <x v="2"/>
    <x v="1"/>
    <x v="3"/>
    <x v="0"/>
    <x v="0"/>
    <n v="9"/>
    <n v="3.49"/>
    <n v="31.41"/>
    <s v="Low"/>
    <s v="Bulk"/>
  </r>
  <r>
    <s v="ORD0108"/>
    <x v="22"/>
    <x v="8"/>
    <x v="0"/>
    <x v="2"/>
    <x v="1"/>
    <x v="5"/>
    <x v="0"/>
    <n v="2"/>
    <n v="163.96"/>
    <n v="327.92"/>
    <s v="Low"/>
    <s v="Normal"/>
  </r>
  <r>
    <s v="ORD0109"/>
    <x v="1"/>
    <x v="5"/>
    <x v="2"/>
    <x v="2"/>
    <x v="3"/>
    <x v="2"/>
    <x v="1"/>
    <n v="9"/>
    <n v="5.58"/>
    <n v="50.22"/>
    <s v="Low"/>
    <s v="Bulk"/>
  </r>
  <r>
    <s v="ORD0110"/>
    <x v="11"/>
    <x v="0"/>
    <x v="0"/>
    <x v="2"/>
    <x v="0"/>
    <x v="4"/>
    <x v="1"/>
    <n v="7"/>
    <n v="148.75"/>
    <n v="1041.25"/>
    <s v="High"/>
    <s v="Bulk"/>
  </r>
  <r>
    <s v="ORD0111"/>
    <x v="11"/>
    <x v="7"/>
    <x v="1"/>
    <x v="0"/>
    <x v="3"/>
    <x v="3"/>
    <x v="1"/>
    <n v="1"/>
    <n v="108.64"/>
    <n v="108.64"/>
    <s v="Low"/>
    <s v="Normal"/>
  </r>
  <r>
    <s v="ORD0112"/>
    <x v="16"/>
    <x v="1"/>
    <x v="1"/>
    <x v="1"/>
    <x v="3"/>
    <x v="5"/>
    <x v="1"/>
    <n v="7"/>
    <n v="265.57"/>
    <n v="1858.99"/>
    <s v="High"/>
    <s v="Bulk"/>
  </r>
  <r>
    <s v="ORD0113"/>
    <x v="23"/>
    <x v="7"/>
    <x v="1"/>
    <x v="1"/>
    <x v="0"/>
    <x v="5"/>
    <x v="0"/>
    <n v="7"/>
    <n v="139.66999999999999"/>
    <n v="977.69"/>
    <s v="Low"/>
    <s v="Bulk"/>
  </r>
  <r>
    <s v="ORD0114"/>
    <x v="14"/>
    <x v="9"/>
    <x v="3"/>
    <x v="2"/>
    <x v="4"/>
    <x v="2"/>
    <x v="1"/>
    <n v="8"/>
    <n v="42.26"/>
    <n v="338.08"/>
    <s v="Low"/>
    <s v="Bulk"/>
  </r>
  <r>
    <s v="ORD0115"/>
    <x v="2"/>
    <x v="7"/>
    <x v="1"/>
    <x v="0"/>
    <x v="2"/>
    <x v="5"/>
    <x v="1"/>
    <n v="4"/>
    <n v="135.58000000000001"/>
    <n v="542.32000000000005"/>
    <s v="Low"/>
    <s v="Normal"/>
  </r>
  <r>
    <s v="ORD0116"/>
    <x v="2"/>
    <x v="0"/>
    <x v="0"/>
    <x v="0"/>
    <x v="5"/>
    <x v="3"/>
    <x v="1"/>
    <n v="2"/>
    <n v="160.33000000000001"/>
    <n v="320.66000000000003"/>
    <s v="Low"/>
    <s v="Normal"/>
  </r>
  <r>
    <s v="ORD0117"/>
    <x v="7"/>
    <x v="5"/>
    <x v="2"/>
    <x v="2"/>
    <x v="1"/>
    <x v="5"/>
    <x v="0"/>
    <n v="10"/>
    <n v="5.99"/>
    <n v="59.9"/>
    <s v="Low"/>
    <s v="Bulk"/>
  </r>
  <r>
    <s v="ORD0118"/>
    <x v="23"/>
    <x v="6"/>
    <x v="0"/>
    <x v="0"/>
    <x v="2"/>
    <x v="4"/>
    <x v="0"/>
    <n v="9"/>
    <n v="766.44"/>
    <n v="6897.96"/>
    <s v="High"/>
    <s v="Bulk"/>
  </r>
  <r>
    <s v="ORD0119"/>
    <x v="6"/>
    <x v="6"/>
    <x v="0"/>
    <x v="3"/>
    <x v="4"/>
    <x v="1"/>
    <x v="0"/>
    <n v="9"/>
    <n v="764.34"/>
    <n v="6879.06"/>
    <s v="High"/>
    <s v="Bulk"/>
  </r>
  <r>
    <s v="ORD0120"/>
    <x v="17"/>
    <x v="1"/>
    <x v="1"/>
    <x v="1"/>
    <x v="1"/>
    <x v="1"/>
    <x v="1"/>
    <n v="6"/>
    <n v="273.14999999999998"/>
    <n v="1638.9"/>
    <s v="High"/>
    <s v="Bulk"/>
  </r>
  <r>
    <s v="ORD0121"/>
    <x v="9"/>
    <x v="3"/>
    <x v="2"/>
    <x v="1"/>
    <x v="0"/>
    <x v="0"/>
    <x v="1"/>
    <n v="4"/>
    <n v="3.21"/>
    <n v="12.84"/>
    <s v="Low"/>
    <s v="Normal"/>
  </r>
  <r>
    <s v="ORD0122"/>
    <x v="0"/>
    <x v="2"/>
    <x v="0"/>
    <x v="3"/>
    <x v="0"/>
    <x v="3"/>
    <x v="1"/>
    <n v="10"/>
    <n v="23.94"/>
    <n v="239.4"/>
    <s v="Low"/>
    <s v="Bulk"/>
  </r>
  <r>
    <s v="ORD0123"/>
    <x v="21"/>
    <x v="3"/>
    <x v="2"/>
    <x v="1"/>
    <x v="1"/>
    <x v="5"/>
    <x v="0"/>
    <n v="2"/>
    <n v="3.15"/>
    <n v="6.3"/>
    <s v="Low"/>
    <s v="Normal"/>
  </r>
  <r>
    <s v="ORD0124"/>
    <x v="2"/>
    <x v="8"/>
    <x v="0"/>
    <x v="2"/>
    <x v="2"/>
    <x v="0"/>
    <x v="1"/>
    <n v="2"/>
    <n v="200.46"/>
    <n v="400.92"/>
    <s v="Low"/>
    <s v="Normal"/>
  </r>
  <r>
    <s v="ORD0125"/>
    <x v="17"/>
    <x v="7"/>
    <x v="1"/>
    <x v="3"/>
    <x v="0"/>
    <x v="1"/>
    <x v="1"/>
    <n v="2"/>
    <n v="110.97"/>
    <n v="221.94"/>
    <s v="Low"/>
    <s v="Normal"/>
  </r>
  <r>
    <s v="ORD0126"/>
    <x v="22"/>
    <x v="6"/>
    <x v="0"/>
    <x v="1"/>
    <x v="4"/>
    <x v="3"/>
    <x v="1"/>
    <n v="2"/>
    <n v="753.05"/>
    <n v="1506.1"/>
    <s v="High"/>
    <s v="Normal"/>
  </r>
  <r>
    <s v="ORD0127"/>
    <x v="6"/>
    <x v="4"/>
    <x v="0"/>
    <x v="3"/>
    <x v="4"/>
    <x v="0"/>
    <x v="0"/>
    <n v="10"/>
    <n v="35.69"/>
    <n v="356.9"/>
    <s v="Low"/>
    <s v="Bulk"/>
  </r>
  <r>
    <s v="ORD0128"/>
    <x v="0"/>
    <x v="0"/>
    <x v="0"/>
    <x v="0"/>
    <x v="2"/>
    <x v="2"/>
    <x v="1"/>
    <n v="7"/>
    <n v="165.65"/>
    <n v="1159.55"/>
    <s v="High"/>
    <s v="Bulk"/>
  </r>
  <r>
    <s v="ORD0129"/>
    <x v="0"/>
    <x v="4"/>
    <x v="0"/>
    <x v="0"/>
    <x v="2"/>
    <x v="2"/>
    <x v="0"/>
    <n v="9"/>
    <n v="37.54"/>
    <n v="337.86"/>
    <s v="Low"/>
    <s v="Bulk"/>
  </r>
  <r>
    <s v="ORD0130"/>
    <x v="12"/>
    <x v="6"/>
    <x v="0"/>
    <x v="3"/>
    <x v="4"/>
    <x v="2"/>
    <x v="0"/>
    <n v="4"/>
    <n v="771.51"/>
    <n v="3086.04"/>
    <s v="High"/>
    <s v="Normal"/>
  </r>
  <r>
    <s v="ORD0131"/>
    <x v="21"/>
    <x v="0"/>
    <x v="0"/>
    <x v="0"/>
    <x v="3"/>
    <x v="5"/>
    <x v="0"/>
    <n v="1"/>
    <n v="142.75"/>
    <n v="142.75"/>
    <s v="Low"/>
    <s v="Normal"/>
  </r>
  <r>
    <s v="ORD0132"/>
    <x v="4"/>
    <x v="5"/>
    <x v="2"/>
    <x v="2"/>
    <x v="2"/>
    <x v="4"/>
    <x v="0"/>
    <n v="1"/>
    <n v="4.76"/>
    <n v="4.76"/>
    <s v="Low"/>
    <s v="Normal"/>
  </r>
  <r>
    <s v="ORD0133"/>
    <x v="15"/>
    <x v="7"/>
    <x v="1"/>
    <x v="2"/>
    <x v="3"/>
    <x v="2"/>
    <x v="1"/>
    <n v="3"/>
    <n v="114.75"/>
    <n v="344.25"/>
    <s v="Low"/>
    <s v="Normal"/>
  </r>
  <r>
    <s v="ORD0134"/>
    <x v="4"/>
    <x v="1"/>
    <x v="1"/>
    <x v="1"/>
    <x v="1"/>
    <x v="3"/>
    <x v="0"/>
    <n v="5"/>
    <n v="298.22000000000003"/>
    <n v="1491.1"/>
    <s v="High"/>
    <s v="Bulk"/>
  </r>
  <r>
    <s v="ORD0135"/>
    <x v="22"/>
    <x v="7"/>
    <x v="1"/>
    <x v="3"/>
    <x v="0"/>
    <x v="3"/>
    <x v="1"/>
    <n v="3"/>
    <n v="117.31"/>
    <n v="351.93"/>
    <s v="Low"/>
    <s v="Normal"/>
  </r>
  <r>
    <s v="ORD0136"/>
    <x v="5"/>
    <x v="3"/>
    <x v="2"/>
    <x v="3"/>
    <x v="0"/>
    <x v="4"/>
    <x v="0"/>
    <n v="4"/>
    <n v="3.18"/>
    <n v="12.72"/>
    <s v="Low"/>
    <s v="Normal"/>
  </r>
  <r>
    <s v="ORD0137"/>
    <x v="10"/>
    <x v="9"/>
    <x v="3"/>
    <x v="2"/>
    <x v="4"/>
    <x v="1"/>
    <x v="0"/>
    <n v="1"/>
    <n v="36.04"/>
    <n v="36.04"/>
    <s v="Low"/>
    <s v="Normal"/>
  </r>
  <r>
    <s v="ORD0138"/>
    <x v="22"/>
    <x v="2"/>
    <x v="0"/>
    <x v="0"/>
    <x v="0"/>
    <x v="4"/>
    <x v="1"/>
    <n v="4"/>
    <n v="23.54"/>
    <n v="94.16"/>
    <s v="Low"/>
    <s v="Normal"/>
  </r>
  <r>
    <s v="ORD0139"/>
    <x v="3"/>
    <x v="6"/>
    <x v="0"/>
    <x v="1"/>
    <x v="3"/>
    <x v="0"/>
    <x v="0"/>
    <n v="10"/>
    <n v="762.55"/>
    <n v="7625.5"/>
    <s v="High"/>
    <s v="Bulk"/>
  </r>
  <r>
    <s v="ORD0140"/>
    <x v="15"/>
    <x v="8"/>
    <x v="0"/>
    <x v="2"/>
    <x v="0"/>
    <x v="3"/>
    <x v="1"/>
    <n v="10"/>
    <n v="213.37"/>
    <n v="2133.6999999999998"/>
    <s v="High"/>
    <s v="Bulk"/>
  </r>
  <r>
    <s v="ORD0141"/>
    <x v="2"/>
    <x v="4"/>
    <x v="0"/>
    <x v="0"/>
    <x v="4"/>
    <x v="1"/>
    <x v="1"/>
    <n v="9"/>
    <n v="35.78"/>
    <n v="322.02"/>
    <s v="Low"/>
    <s v="Bulk"/>
  </r>
  <r>
    <s v="ORD0142"/>
    <x v="7"/>
    <x v="2"/>
    <x v="0"/>
    <x v="2"/>
    <x v="4"/>
    <x v="1"/>
    <x v="1"/>
    <n v="7"/>
    <n v="21.6"/>
    <n v="151.19999999999999"/>
    <s v="Low"/>
    <s v="Bulk"/>
  </r>
  <r>
    <s v="ORD0143"/>
    <x v="21"/>
    <x v="5"/>
    <x v="2"/>
    <x v="3"/>
    <x v="0"/>
    <x v="1"/>
    <x v="0"/>
    <n v="8"/>
    <n v="5.64"/>
    <n v="45.12"/>
    <s v="Low"/>
    <s v="Bulk"/>
  </r>
  <r>
    <s v="ORD0144"/>
    <x v="2"/>
    <x v="0"/>
    <x v="0"/>
    <x v="3"/>
    <x v="5"/>
    <x v="4"/>
    <x v="0"/>
    <n v="4"/>
    <n v="148.87"/>
    <n v="595.48"/>
    <s v="Low"/>
    <s v="Normal"/>
  </r>
  <r>
    <s v="ORD0145"/>
    <x v="10"/>
    <x v="2"/>
    <x v="0"/>
    <x v="0"/>
    <x v="4"/>
    <x v="2"/>
    <x v="0"/>
    <n v="9"/>
    <n v="22.12"/>
    <n v="199.08"/>
    <s v="Low"/>
    <s v="Bulk"/>
  </r>
  <r>
    <s v="ORD0146"/>
    <x v="2"/>
    <x v="1"/>
    <x v="1"/>
    <x v="0"/>
    <x v="1"/>
    <x v="5"/>
    <x v="1"/>
    <n v="4"/>
    <n v="244.32"/>
    <n v="977.28"/>
    <s v="Low"/>
    <s v="Normal"/>
  </r>
  <r>
    <s v="ORD0147"/>
    <x v="19"/>
    <x v="1"/>
    <x v="1"/>
    <x v="1"/>
    <x v="4"/>
    <x v="1"/>
    <x v="1"/>
    <n v="8"/>
    <n v="235.02"/>
    <n v="1880.16"/>
    <s v="High"/>
    <s v="Bulk"/>
  </r>
  <r>
    <s v="ORD0148"/>
    <x v="5"/>
    <x v="3"/>
    <x v="2"/>
    <x v="0"/>
    <x v="3"/>
    <x v="0"/>
    <x v="0"/>
    <n v="6"/>
    <n v="3.09"/>
    <n v="18.54"/>
    <s v="Low"/>
    <s v="Bulk"/>
  </r>
  <r>
    <s v="ORD0149"/>
    <x v="0"/>
    <x v="2"/>
    <x v="0"/>
    <x v="1"/>
    <x v="0"/>
    <x v="0"/>
    <x v="1"/>
    <n v="1"/>
    <n v="21.01"/>
    <n v="21.01"/>
    <s v="Low"/>
    <s v="Normal"/>
  </r>
  <r>
    <s v="ORD0150"/>
    <x v="12"/>
    <x v="9"/>
    <x v="3"/>
    <x v="3"/>
    <x v="3"/>
    <x v="3"/>
    <x v="0"/>
    <n v="3"/>
    <n v="38.51"/>
    <n v="115.53"/>
    <s v="Low"/>
    <s v="Normal"/>
  </r>
  <r>
    <s v="ORD0151"/>
    <x v="23"/>
    <x v="6"/>
    <x v="0"/>
    <x v="3"/>
    <x v="1"/>
    <x v="4"/>
    <x v="1"/>
    <n v="2"/>
    <n v="645.79"/>
    <n v="1291.58"/>
    <s v="High"/>
    <s v="Normal"/>
  </r>
  <r>
    <s v="ORD0152"/>
    <x v="13"/>
    <x v="0"/>
    <x v="0"/>
    <x v="2"/>
    <x v="1"/>
    <x v="4"/>
    <x v="1"/>
    <n v="1"/>
    <n v="141.41"/>
    <n v="141.41"/>
    <s v="Low"/>
    <s v="Normal"/>
  </r>
  <r>
    <s v="ORD0153"/>
    <x v="10"/>
    <x v="4"/>
    <x v="0"/>
    <x v="2"/>
    <x v="5"/>
    <x v="5"/>
    <x v="1"/>
    <n v="9"/>
    <n v="37.25"/>
    <n v="335.25"/>
    <s v="Low"/>
    <s v="Bulk"/>
  </r>
  <r>
    <s v="ORD0154"/>
    <x v="13"/>
    <x v="6"/>
    <x v="0"/>
    <x v="0"/>
    <x v="1"/>
    <x v="2"/>
    <x v="0"/>
    <n v="6"/>
    <n v="658.92"/>
    <n v="3953.52"/>
    <s v="High"/>
    <s v="Bulk"/>
  </r>
  <r>
    <s v="ORD0155"/>
    <x v="1"/>
    <x v="5"/>
    <x v="2"/>
    <x v="2"/>
    <x v="2"/>
    <x v="1"/>
    <x v="1"/>
    <n v="6"/>
    <n v="4.6399999999999997"/>
    <n v="27.84"/>
    <s v="Low"/>
    <s v="Bulk"/>
  </r>
  <r>
    <s v="ORD0156"/>
    <x v="5"/>
    <x v="2"/>
    <x v="0"/>
    <x v="3"/>
    <x v="0"/>
    <x v="1"/>
    <x v="0"/>
    <n v="1"/>
    <n v="21.04"/>
    <n v="21.04"/>
    <s v="Low"/>
    <s v="Normal"/>
  </r>
  <r>
    <s v="ORD0157"/>
    <x v="24"/>
    <x v="4"/>
    <x v="0"/>
    <x v="1"/>
    <x v="0"/>
    <x v="3"/>
    <x v="1"/>
    <n v="7"/>
    <n v="31.99"/>
    <n v="223.93"/>
    <s v="Low"/>
    <s v="Bulk"/>
  </r>
  <r>
    <s v="ORD0158"/>
    <x v="12"/>
    <x v="0"/>
    <x v="0"/>
    <x v="1"/>
    <x v="5"/>
    <x v="2"/>
    <x v="1"/>
    <n v="3"/>
    <n v="174.07"/>
    <n v="522.21"/>
    <s v="Low"/>
    <s v="Normal"/>
  </r>
  <r>
    <s v="ORD0159"/>
    <x v="1"/>
    <x v="1"/>
    <x v="1"/>
    <x v="3"/>
    <x v="4"/>
    <x v="0"/>
    <x v="1"/>
    <n v="5"/>
    <n v="234.36"/>
    <n v="1171.8"/>
    <s v="High"/>
    <s v="Bulk"/>
  </r>
  <r>
    <s v="ORD0160"/>
    <x v="19"/>
    <x v="9"/>
    <x v="3"/>
    <x v="0"/>
    <x v="0"/>
    <x v="2"/>
    <x v="0"/>
    <n v="8"/>
    <n v="43.55"/>
    <n v="348.4"/>
    <s v="Low"/>
    <s v="Bulk"/>
  </r>
  <r>
    <s v="ORD0161"/>
    <x v="17"/>
    <x v="1"/>
    <x v="1"/>
    <x v="3"/>
    <x v="5"/>
    <x v="3"/>
    <x v="1"/>
    <n v="9"/>
    <n v="275.62"/>
    <n v="2480.58"/>
    <s v="High"/>
    <s v="Bulk"/>
  </r>
  <r>
    <s v="ORD0162"/>
    <x v="10"/>
    <x v="9"/>
    <x v="3"/>
    <x v="3"/>
    <x v="5"/>
    <x v="1"/>
    <x v="1"/>
    <n v="7"/>
    <n v="38.28"/>
    <n v="267.95999999999998"/>
    <s v="Low"/>
    <s v="Bulk"/>
  </r>
  <r>
    <s v="ORD0163"/>
    <x v="27"/>
    <x v="7"/>
    <x v="1"/>
    <x v="3"/>
    <x v="4"/>
    <x v="4"/>
    <x v="0"/>
    <n v="3"/>
    <n v="124.09"/>
    <n v="372.27"/>
    <s v="Low"/>
    <s v="Normal"/>
  </r>
  <r>
    <s v="ORD0164"/>
    <x v="10"/>
    <x v="7"/>
    <x v="1"/>
    <x v="0"/>
    <x v="2"/>
    <x v="0"/>
    <x v="0"/>
    <n v="10"/>
    <n v="122.71"/>
    <n v="1227.0999999999999"/>
    <s v="High"/>
    <s v="Bulk"/>
  </r>
  <r>
    <s v="ORD0165"/>
    <x v="22"/>
    <x v="3"/>
    <x v="2"/>
    <x v="1"/>
    <x v="5"/>
    <x v="3"/>
    <x v="0"/>
    <n v="2"/>
    <n v="3.38"/>
    <n v="6.76"/>
    <s v="Low"/>
    <s v="Normal"/>
  </r>
  <r>
    <s v="ORD0166"/>
    <x v="6"/>
    <x v="9"/>
    <x v="3"/>
    <x v="3"/>
    <x v="5"/>
    <x v="2"/>
    <x v="0"/>
    <n v="7"/>
    <n v="39.83"/>
    <n v="278.81"/>
    <s v="Low"/>
    <s v="Bulk"/>
  </r>
  <r>
    <s v="ORD0167"/>
    <x v="27"/>
    <x v="9"/>
    <x v="3"/>
    <x v="1"/>
    <x v="2"/>
    <x v="5"/>
    <x v="1"/>
    <n v="8"/>
    <n v="43.4"/>
    <n v="347.2"/>
    <s v="Low"/>
    <s v="Bulk"/>
  </r>
  <r>
    <s v="ORD0168"/>
    <x v="11"/>
    <x v="8"/>
    <x v="0"/>
    <x v="1"/>
    <x v="0"/>
    <x v="3"/>
    <x v="1"/>
    <n v="7"/>
    <n v="200.31"/>
    <n v="1402.17"/>
    <s v="High"/>
    <s v="Bulk"/>
  </r>
  <r>
    <s v="ORD0169"/>
    <x v="26"/>
    <x v="0"/>
    <x v="0"/>
    <x v="2"/>
    <x v="5"/>
    <x v="1"/>
    <x v="1"/>
    <n v="5"/>
    <n v="157.52000000000001"/>
    <n v="787.6"/>
    <s v="Low"/>
    <s v="Bulk"/>
  </r>
  <r>
    <s v="ORD0170"/>
    <x v="6"/>
    <x v="9"/>
    <x v="3"/>
    <x v="1"/>
    <x v="5"/>
    <x v="1"/>
    <x v="0"/>
    <n v="1"/>
    <n v="47.73"/>
    <n v="47.73"/>
    <s v="Low"/>
    <s v="Normal"/>
  </r>
  <r>
    <s v="ORD0171"/>
    <x v="22"/>
    <x v="1"/>
    <x v="1"/>
    <x v="2"/>
    <x v="0"/>
    <x v="5"/>
    <x v="0"/>
    <n v="3"/>
    <n v="252.89"/>
    <n v="758.67"/>
    <s v="Low"/>
    <s v="Normal"/>
  </r>
  <r>
    <s v="ORD0172"/>
    <x v="11"/>
    <x v="7"/>
    <x v="1"/>
    <x v="0"/>
    <x v="5"/>
    <x v="2"/>
    <x v="1"/>
    <n v="4"/>
    <n v="140.4"/>
    <n v="561.6"/>
    <s v="Low"/>
    <s v="Normal"/>
  </r>
  <r>
    <s v="ORD0173"/>
    <x v="18"/>
    <x v="0"/>
    <x v="0"/>
    <x v="3"/>
    <x v="1"/>
    <x v="4"/>
    <x v="1"/>
    <n v="5"/>
    <n v="149.36000000000001"/>
    <n v="746.8"/>
    <s v="Low"/>
    <s v="Bulk"/>
  </r>
  <r>
    <s v="ORD0174"/>
    <x v="12"/>
    <x v="5"/>
    <x v="2"/>
    <x v="1"/>
    <x v="2"/>
    <x v="0"/>
    <x v="0"/>
    <n v="10"/>
    <n v="5.31"/>
    <n v="53.1"/>
    <s v="Low"/>
    <s v="Bulk"/>
  </r>
  <r>
    <s v="ORD0175"/>
    <x v="4"/>
    <x v="2"/>
    <x v="0"/>
    <x v="3"/>
    <x v="3"/>
    <x v="1"/>
    <x v="0"/>
    <n v="6"/>
    <n v="18.82"/>
    <n v="112.92"/>
    <s v="Low"/>
    <s v="Bulk"/>
  </r>
  <r>
    <s v="ORD0176"/>
    <x v="2"/>
    <x v="3"/>
    <x v="2"/>
    <x v="1"/>
    <x v="4"/>
    <x v="0"/>
    <x v="1"/>
    <n v="10"/>
    <n v="2.81"/>
    <n v="28.1"/>
    <s v="Low"/>
    <s v="Bulk"/>
  </r>
  <r>
    <s v="ORD0177"/>
    <x v="27"/>
    <x v="4"/>
    <x v="0"/>
    <x v="1"/>
    <x v="3"/>
    <x v="3"/>
    <x v="1"/>
    <n v="10"/>
    <n v="40.9"/>
    <n v="409"/>
    <s v="Low"/>
    <s v="Bulk"/>
  </r>
  <r>
    <s v="ORD0178"/>
    <x v="7"/>
    <x v="0"/>
    <x v="0"/>
    <x v="0"/>
    <x v="4"/>
    <x v="2"/>
    <x v="1"/>
    <n v="5"/>
    <n v="161.02000000000001"/>
    <n v="805.1"/>
    <s v="Low"/>
    <s v="Bulk"/>
  </r>
  <r>
    <s v="ORD0179"/>
    <x v="10"/>
    <x v="9"/>
    <x v="3"/>
    <x v="1"/>
    <x v="0"/>
    <x v="1"/>
    <x v="1"/>
    <n v="1"/>
    <n v="45.67"/>
    <n v="45.67"/>
    <s v="Low"/>
    <s v="Normal"/>
  </r>
  <r>
    <s v="ORD0180"/>
    <x v="25"/>
    <x v="7"/>
    <x v="1"/>
    <x v="0"/>
    <x v="1"/>
    <x v="0"/>
    <x v="0"/>
    <n v="6"/>
    <n v="114.83"/>
    <n v="688.98"/>
    <s v="Low"/>
    <s v="Bulk"/>
  </r>
  <r>
    <s v="ORD0181"/>
    <x v="12"/>
    <x v="9"/>
    <x v="3"/>
    <x v="3"/>
    <x v="4"/>
    <x v="2"/>
    <x v="0"/>
    <n v="1"/>
    <n v="46.01"/>
    <n v="46.01"/>
    <s v="Low"/>
    <s v="Normal"/>
  </r>
  <r>
    <s v="ORD0182"/>
    <x v="2"/>
    <x v="8"/>
    <x v="0"/>
    <x v="0"/>
    <x v="4"/>
    <x v="4"/>
    <x v="0"/>
    <n v="10"/>
    <n v="171.53"/>
    <n v="1715.3"/>
    <s v="High"/>
    <s v="Bulk"/>
  </r>
  <r>
    <s v="ORD0183"/>
    <x v="22"/>
    <x v="9"/>
    <x v="3"/>
    <x v="2"/>
    <x v="1"/>
    <x v="5"/>
    <x v="0"/>
    <n v="7"/>
    <n v="38.25"/>
    <n v="267.75"/>
    <s v="Low"/>
    <s v="Bulk"/>
  </r>
  <r>
    <s v="ORD0184"/>
    <x v="3"/>
    <x v="5"/>
    <x v="2"/>
    <x v="2"/>
    <x v="5"/>
    <x v="0"/>
    <x v="1"/>
    <n v="9"/>
    <n v="4.68"/>
    <n v="42.12"/>
    <s v="Low"/>
    <s v="Bulk"/>
  </r>
  <r>
    <s v="ORD0185"/>
    <x v="19"/>
    <x v="1"/>
    <x v="1"/>
    <x v="3"/>
    <x v="5"/>
    <x v="5"/>
    <x v="1"/>
    <n v="4"/>
    <n v="246.84"/>
    <n v="987.36"/>
    <s v="Low"/>
    <s v="Normal"/>
  </r>
  <r>
    <s v="ORD0186"/>
    <x v="11"/>
    <x v="4"/>
    <x v="0"/>
    <x v="1"/>
    <x v="5"/>
    <x v="2"/>
    <x v="1"/>
    <n v="1"/>
    <n v="36.090000000000003"/>
    <n v="36.090000000000003"/>
    <s v="Low"/>
    <s v="Normal"/>
  </r>
  <r>
    <s v="ORD0187"/>
    <x v="18"/>
    <x v="9"/>
    <x v="3"/>
    <x v="3"/>
    <x v="2"/>
    <x v="4"/>
    <x v="1"/>
    <n v="6"/>
    <n v="38.869999999999997"/>
    <n v="233.22"/>
    <s v="Low"/>
    <s v="Bulk"/>
  </r>
  <r>
    <s v="ORD0188"/>
    <x v="10"/>
    <x v="8"/>
    <x v="0"/>
    <x v="0"/>
    <x v="0"/>
    <x v="1"/>
    <x v="0"/>
    <n v="5"/>
    <n v="179.35"/>
    <n v="896.75"/>
    <s v="Low"/>
    <s v="Bulk"/>
  </r>
  <r>
    <s v="ORD0189"/>
    <x v="4"/>
    <x v="6"/>
    <x v="0"/>
    <x v="3"/>
    <x v="3"/>
    <x v="1"/>
    <x v="0"/>
    <n v="2"/>
    <n v="641.15"/>
    <n v="1282.3"/>
    <s v="High"/>
    <s v="Normal"/>
  </r>
  <r>
    <s v="ORD0190"/>
    <x v="6"/>
    <x v="2"/>
    <x v="0"/>
    <x v="1"/>
    <x v="2"/>
    <x v="1"/>
    <x v="1"/>
    <n v="4"/>
    <n v="22.6"/>
    <n v="90.4"/>
    <s v="Low"/>
    <s v="Normal"/>
  </r>
  <r>
    <s v="ORD0191"/>
    <x v="22"/>
    <x v="0"/>
    <x v="0"/>
    <x v="2"/>
    <x v="5"/>
    <x v="2"/>
    <x v="1"/>
    <n v="6"/>
    <n v="136.43"/>
    <n v="818.58"/>
    <s v="Low"/>
    <s v="Bulk"/>
  </r>
  <r>
    <s v="ORD0192"/>
    <x v="17"/>
    <x v="4"/>
    <x v="0"/>
    <x v="1"/>
    <x v="2"/>
    <x v="3"/>
    <x v="0"/>
    <n v="3"/>
    <n v="39.78"/>
    <n v="119.34"/>
    <s v="Low"/>
    <s v="Normal"/>
  </r>
  <r>
    <s v="ORD0193"/>
    <x v="24"/>
    <x v="2"/>
    <x v="0"/>
    <x v="2"/>
    <x v="2"/>
    <x v="2"/>
    <x v="0"/>
    <n v="4"/>
    <n v="22.64"/>
    <n v="90.56"/>
    <s v="Low"/>
    <s v="Normal"/>
  </r>
  <r>
    <s v="ORD0194"/>
    <x v="2"/>
    <x v="5"/>
    <x v="2"/>
    <x v="2"/>
    <x v="4"/>
    <x v="5"/>
    <x v="1"/>
    <n v="2"/>
    <n v="4.9800000000000004"/>
    <n v="9.9600000000000009"/>
    <s v="Low"/>
    <s v="Normal"/>
  </r>
  <r>
    <s v="ORD0195"/>
    <x v="16"/>
    <x v="2"/>
    <x v="0"/>
    <x v="1"/>
    <x v="3"/>
    <x v="1"/>
    <x v="0"/>
    <n v="1"/>
    <n v="18.07"/>
    <n v="18.07"/>
    <s v="Low"/>
    <s v="Normal"/>
  </r>
  <r>
    <s v="ORD0196"/>
    <x v="11"/>
    <x v="9"/>
    <x v="3"/>
    <x v="1"/>
    <x v="0"/>
    <x v="0"/>
    <x v="0"/>
    <n v="7"/>
    <n v="38.6"/>
    <n v="270.2"/>
    <s v="Low"/>
    <s v="Bulk"/>
  </r>
  <r>
    <s v="ORD0197"/>
    <x v="13"/>
    <x v="8"/>
    <x v="0"/>
    <x v="0"/>
    <x v="2"/>
    <x v="5"/>
    <x v="1"/>
    <n v="8"/>
    <n v="171.63"/>
    <n v="1373.04"/>
    <s v="High"/>
    <s v="Bulk"/>
  </r>
  <r>
    <s v="ORD0198"/>
    <x v="16"/>
    <x v="4"/>
    <x v="0"/>
    <x v="3"/>
    <x v="1"/>
    <x v="3"/>
    <x v="0"/>
    <n v="2"/>
    <n v="41.71"/>
    <n v="83.42"/>
    <s v="Low"/>
    <s v="Normal"/>
  </r>
  <r>
    <s v="ORD0199"/>
    <x v="14"/>
    <x v="8"/>
    <x v="0"/>
    <x v="1"/>
    <x v="2"/>
    <x v="3"/>
    <x v="1"/>
    <n v="3"/>
    <n v="167.9"/>
    <n v="503.7"/>
    <s v="Low"/>
    <s v="Normal"/>
  </r>
  <r>
    <s v="ORD0200"/>
    <x v="16"/>
    <x v="4"/>
    <x v="0"/>
    <x v="0"/>
    <x v="4"/>
    <x v="2"/>
    <x v="0"/>
    <n v="8"/>
    <n v="41.45"/>
    <n v="331.6"/>
    <s v="Low"/>
    <s v="Bulk"/>
  </r>
  <r>
    <s v="ORD0201"/>
    <x v="2"/>
    <x v="6"/>
    <x v="0"/>
    <x v="3"/>
    <x v="5"/>
    <x v="1"/>
    <x v="1"/>
    <n v="8"/>
    <n v="771.74"/>
    <n v="6173.92"/>
    <s v="High"/>
    <s v="Bulk"/>
  </r>
  <r>
    <s v="ORD0202"/>
    <x v="8"/>
    <x v="4"/>
    <x v="0"/>
    <x v="3"/>
    <x v="2"/>
    <x v="3"/>
    <x v="1"/>
    <n v="1"/>
    <n v="32.770000000000003"/>
    <n v="32.770000000000003"/>
    <s v="Low"/>
    <s v="Normal"/>
  </r>
  <r>
    <s v="ORD0203"/>
    <x v="23"/>
    <x v="7"/>
    <x v="1"/>
    <x v="3"/>
    <x v="5"/>
    <x v="0"/>
    <x v="1"/>
    <n v="2"/>
    <n v="110.65"/>
    <n v="221.3"/>
    <s v="Low"/>
    <s v="Normal"/>
  </r>
  <r>
    <s v="ORD0204"/>
    <x v="17"/>
    <x v="7"/>
    <x v="1"/>
    <x v="1"/>
    <x v="5"/>
    <x v="5"/>
    <x v="0"/>
    <n v="7"/>
    <n v="109.94"/>
    <n v="769.58"/>
    <s v="Low"/>
    <s v="Bulk"/>
  </r>
  <r>
    <s v="ORD0205"/>
    <x v="2"/>
    <x v="9"/>
    <x v="3"/>
    <x v="2"/>
    <x v="0"/>
    <x v="1"/>
    <x v="1"/>
    <n v="2"/>
    <n v="41.37"/>
    <n v="82.74"/>
    <s v="Low"/>
    <s v="Normal"/>
  </r>
  <r>
    <s v="ORD0206"/>
    <x v="22"/>
    <x v="7"/>
    <x v="1"/>
    <x v="2"/>
    <x v="4"/>
    <x v="5"/>
    <x v="1"/>
    <n v="6"/>
    <n v="113.8"/>
    <n v="682.8"/>
    <s v="Low"/>
    <s v="Bulk"/>
  </r>
  <r>
    <s v="ORD0207"/>
    <x v="5"/>
    <x v="4"/>
    <x v="0"/>
    <x v="1"/>
    <x v="4"/>
    <x v="4"/>
    <x v="1"/>
    <n v="1"/>
    <n v="41.42"/>
    <n v="41.42"/>
    <s v="Low"/>
    <s v="Normal"/>
  </r>
  <r>
    <s v="ORD0208"/>
    <x v="1"/>
    <x v="7"/>
    <x v="1"/>
    <x v="2"/>
    <x v="5"/>
    <x v="2"/>
    <x v="0"/>
    <n v="2"/>
    <n v="118.08"/>
    <n v="236.16"/>
    <s v="Low"/>
    <s v="Normal"/>
  </r>
  <r>
    <s v="ORD0209"/>
    <x v="4"/>
    <x v="5"/>
    <x v="2"/>
    <x v="1"/>
    <x v="4"/>
    <x v="5"/>
    <x v="0"/>
    <n v="7"/>
    <n v="4.8499999999999996"/>
    <n v="33.950000000000003"/>
    <s v="Low"/>
    <s v="Bulk"/>
  </r>
  <r>
    <s v="ORD0210"/>
    <x v="9"/>
    <x v="5"/>
    <x v="2"/>
    <x v="1"/>
    <x v="0"/>
    <x v="4"/>
    <x v="1"/>
    <n v="3"/>
    <n v="5.3"/>
    <n v="15.9"/>
    <s v="Low"/>
    <s v="Normal"/>
  </r>
  <r>
    <s v="ORD0211"/>
    <x v="11"/>
    <x v="2"/>
    <x v="0"/>
    <x v="3"/>
    <x v="5"/>
    <x v="5"/>
    <x v="0"/>
    <n v="5"/>
    <n v="21.23"/>
    <n v="106.15"/>
    <s v="Low"/>
    <s v="Bulk"/>
  </r>
  <r>
    <s v="ORD0212"/>
    <x v="20"/>
    <x v="3"/>
    <x v="2"/>
    <x v="1"/>
    <x v="1"/>
    <x v="4"/>
    <x v="1"/>
    <n v="8"/>
    <n v="3.3"/>
    <n v="26.4"/>
    <s v="Low"/>
    <s v="Bulk"/>
  </r>
  <r>
    <s v="ORD0213"/>
    <x v="19"/>
    <x v="4"/>
    <x v="0"/>
    <x v="0"/>
    <x v="1"/>
    <x v="1"/>
    <x v="0"/>
    <n v="6"/>
    <n v="32.17"/>
    <n v="193.02"/>
    <s v="Low"/>
    <s v="Bulk"/>
  </r>
  <r>
    <s v="ORD0214"/>
    <x v="14"/>
    <x v="5"/>
    <x v="2"/>
    <x v="2"/>
    <x v="1"/>
    <x v="4"/>
    <x v="0"/>
    <n v="8"/>
    <n v="5.49"/>
    <n v="43.92"/>
    <s v="Low"/>
    <s v="Bulk"/>
  </r>
  <r>
    <s v="ORD0215"/>
    <x v="17"/>
    <x v="4"/>
    <x v="0"/>
    <x v="3"/>
    <x v="1"/>
    <x v="0"/>
    <x v="1"/>
    <n v="2"/>
    <n v="39.86"/>
    <n v="79.72"/>
    <s v="Low"/>
    <s v="Normal"/>
  </r>
  <r>
    <s v="ORD0216"/>
    <x v="3"/>
    <x v="9"/>
    <x v="3"/>
    <x v="2"/>
    <x v="2"/>
    <x v="4"/>
    <x v="1"/>
    <n v="8"/>
    <n v="41.67"/>
    <n v="333.36"/>
    <s v="Low"/>
    <s v="Bulk"/>
  </r>
  <r>
    <s v="ORD0217"/>
    <x v="16"/>
    <x v="1"/>
    <x v="1"/>
    <x v="3"/>
    <x v="4"/>
    <x v="4"/>
    <x v="0"/>
    <n v="5"/>
    <n v="295.64"/>
    <n v="1478.2"/>
    <s v="High"/>
    <s v="Bulk"/>
  </r>
  <r>
    <s v="ORD0218"/>
    <x v="22"/>
    <x v="6"/>
    <x v="0"/>
    <x v="3"/>
    <x v="3"/>
    <x v="1"/>
    <x v="1"/>
    <n v="9"/>
    <n v="725.27"/>
    <n v="6527.43"/>
    <s v="High"/>
    <s v="Bulk"/>
  </r>
  <r>
    <s v="ORD0219"/>
    <x v="22"/>
    <x v="4"/>
    <x v="0"/>
    <x v="3"/>
    <x v="5"/>
    <x v="0"/>
    <x v="1"/>
    <n v="1"/>
    <n v="33.229999999999997"/>
    <n v="33.229999999999997"/>
    <s v="Low"/>
    <s v="Normal"/>
  </r>
  <r>
    <s v="ORD0220"/>
    <x v="23"/>
    <x v="0"/>
    <x v="0"/>
    <x v="3"/>
    <x v="4"/>
    <x v="3"/>
    <x v="0"/>
    <n v="7"/>
    <n v="143.9"/>
    <n v="1007.3"/>
    <s v="High"/>
    <s v="Bulk"/>
  </r>
  <r>
    <s v="ORD0221"/>
    <x v="4"/>
    <x v="2"/>
    <x v="0"/>
    <x v="1"/>
    <x v="5"/>
    <x v="0"/>
    <x v="1"/>
    <n v="6"/>
    <n v="20.74"/>
    <n v="124.44"/>
    <s v="Low"/>
    <s v="Bulk"/>
  </r>
  <r>
    <s v="ORD0222"/>
    <x v="23"/>
    <x v="9"/>
    <x v="3"/>
    <x v="1"/>
    <x v="4"/>
    <x v="4"/>
    <x v="0"/>
    <n v="4"/>
    <n v="40.44"/>
    <n v="161.76"/>
    <s v="Low"/>
    <s v="Normal"/>
  </r>
  <r>
    <s v="ORD0223"/>
    <x v="26"/>
    <x v="9"/>
    <x v="3"/>
    <x v="1"/>
    <x v="2"/>
    <x v="2"/>
    <x v="1"/>
    <n v="1"/>
    <n v="47.55"/>
    <n v="47.55"/>
    <s v="Low"/>
    <s v="Normal"/>
  </r>
  <r>
    <s v="ORD0224"/>
    <x v="18"/>
    <x v="1"/>
    <x v="1"/>
    <x v="0"/>
    <x v="1"/>
    <x v="0"/>
    <x v="0"/>
    <n v="7"/>
    <n v="282.42"/>
    <n v="1976.94"/>
    <s v="High"/>
    <s v="Bulk"/>
  </r>
  <r>
    <s v="ORD0225"/>
    <x v="6"/>
    <x v="9"/>
    <x v="3"/>
    <x v="3"/>
    <x v="5"/>
    <x v="2"/>
    <x v="0"/>
    <n v="5"/>
    <n v="39.35"/>
    <n v="196.75"/>
    <s v="Low"/>
    <s v="Bulk"/>
  </r>
  <r>
    <s v="ORD0226"/>
    <x v="6"/>
    <x v="2"/>
    <x v="0"/>
    <x v="3"/>
    <x v="4"/>
    <x v="1"/>
    <x v="1"/>
    <n v="2"/>
    <n v="20.99"/>
    <n v="41.98"/>
    <s v="Low"/>
    <s v="Normal"/>
  </r>
  <r>
    <s v="ORD0227"/>
    <x v="3"/>
    <x v="7"/>
    <x v="1"/>
    <x v="2"/>
    <x v="4"/>
    <x v="0"/>
    <x v="1"/>
    <n v="5"/>
    <n v="131.81"/>
    <n v="659.05"/>
    <s v="Low"/>
    <s v="Bulk"/>
  </r>
  <r>
    <s v="ORD0228"/>
    <x v="8"/>
    <x v="1"/>
    <x v="1"/>
    <x v="1"/>
    <x v="1"/>
    <x v="1"/>
    <x v="1"/>
    <n v="3"/>
    <n v="273.74"/>
    <n v="821.22"/>
    <s v="Low"/>
    <s v="Normal"/>
  </r>
  <r>
    <s v="ORD0229"/>
    <x v="12"/>
    <x v="6"/>
    <x v="0"/>
    <x v="0"/>
    <x v="0"/>
    <x v="0"/>
    <x v="1"/>
    <n v="2"/>
    <n v="790.51"/>
    <n v="1581.02"/>
    <s v="High"/>
    <s v="Normal"/>
  </r>
  <r>
    <s v="ORD0230"/>
    <x v="24"/>
    <x v="0"/>
    <x v="0"/>
    <x v="2"/>
    <x v="1"/>
    <x v="1"/>
    <x v="1"/>
    <n v="2"/>
    <n v="148.94"/>
    <n v="297.88"/>
    <s v="Low"/>
    <s v="Normal"/>
  </r>
  <r>
    <s v="ORD0231"/>
    <x v="17"/>
    <x v="9"/>
    <x v="3"/>
    <x v="3"/>
    <x v="1"/>
    <x v="3"/>
    <x v="1"/>
    <n v="7"/>
    <n v="41.87"/>
    <n v="293.08999999999997"/>
    <s v="Low"/>
    <s v="Bulk"/>
  </r>
  <r>
    <s v="ORD0232"/>
    <x v="25"/>
    <x v="6"/>
    <x v="0"/>
    <x v="0"/>
    <x v="1"/>
    <x v="5"/>
    <x v="0"/>
    <n v="8"/>
    <n v="800.44"/>
    <n v="6403.52"/>
    <s v="High"/>
    <s v="Bulk"/>
  </r>
  <r>
    <s v="ORD0233"/>
    <x v="27"/>
    <x v="6"/>
    <x v="0"/>
    <x v="1"/>
    <x v="2"/>
    <x v="5"/>
    <x v="1"/>
    <n v="6"/>
    <n v="646.54"/>
    <n v="3879.24"/>
    <s v="High"/>
    <s v="Bulk"/>
  </r>
  <r>
    <s v="ORD0234"/>
    <x v="25"/>
    <x v="0"/>
    <x v="0"/>
    <x v="0"/>
    <x v="4"/>
    <x v="5"/>
    <x v="0"/>
    <n v="5"/>
    <n v="148.69999999999999"/>
    <n v="743.5"/>
    <s v="Low"/>
    <s v="Bulk"/>
  </r>
  <r>
    <s v="ORD0235"/>
    <x v="22"/>
    <x v="0"/>
    <x v="0"/>
    <x v="1"/>
    <x v="3"/>
    <x v="5"/>
    <x v="0"/>
    <n v="3"/>
    <n v="155.58000000000001"/>
    <n v="466.74"/>
    <s v="Low"/>
    <s v="Normal"/>
  </r>
  <r>
    <s v="ORD0236"/>
    <x v="23"/>
    <x v="7"/>
    <x v="1"/>
    <x v="2"/>
    <x v="3"/>
    <x v="1"/>
    <x v="0"/>
    <n v="10"/>
    <n v="143.63"/>
    <n v="1436.3"/>
    <s v="High"/>
    <s v="Bulk"/>
  </r>
  <r>
    <s v="ORD0237"/>
    <x v="3"/>
    <x v="0"/>
    <x v="0"/>
    <x v="0"/>
    <x v="3"/>
    <x v="4"/>
    <x v="1"/>
    <n v="8"/>
    <n v="178.68"/>
    <n v="1429.44"/>
    <s v="High"/>
    <s v="Bulk"/>
  </r>
  <r>
    <s v="ORD0238"/>
    <x v="0"/>
    <x v="9"/>
    <x v="3"/>
    <x v="1"/>
    <x v="1"/>
    <x v="2"/>
    <x v="0"/>
    <n v="6"/>
    <n v="41.22"/>
    <n v="247.32"/>
    <s v="Low"/>
    <s v="Bulk"/>
  </r>
  <r>
    <s v="ORD0239"/>
    <x v="18"/>
    <x v="2"/>
    <x v="0"/>
    <x v="3"/>
    <x v="3"/>
    <x v="3"/>
    <x v="1"/>
    <n v="10"/>
    <n v="21.14"/>
    <n v="211.4"/>
    <s v="Low"/>
    <s v="Bulk"/>
  </r>
  <r>
    <s v="ORD0240"/>
    <x v="21"/>
    <x v="0"/>
    <x v="0"/>
    <x v="0"/>
    <x v="5"/>
    <x v="2"/>
    <x v="1"/>
    <n v="9"/>
    <n v="179.05"/>
    <n v="1611.45"/>
    <s v="High"/>
    <s v="Bulk"/>
  </r>
  <r>
    <s v="ORD0241"/>
    <x v="14"/>
    <x v="8"/>
    <x v="0"/>
    <x v="0"/>
    <x v="1"/>
    <x v="3"/>
    <x v="1"/>
    <n v="7"/>
    <n v="200.28"/>
    <n v="1401.96"/>
    <s v="High"/>
    <s v="Bulk"/>
  </r>
  <r>
    <s v="ORD0242"/>
    <x v="3"/>
    <x v="2"/>
    <x v="0"/>
    <x v="0"/>
    <x v="2"/>
    <x v="5"/>
    <x v="0"/>
    <n v="8"/>
    <n v="20.64"/>
    <n v="165.12"/>
    <s v="Low"/>
    <s v="Bulk"/>
  </r>
  <r>
    <s v="ORD0243"/>
    <x v="22"/>
    <x v="0"/>
    <x v="0"/>
    <x v="0"/>
    <x v="4"/>
    <x v="0"/>
    <x v="0"/>
    <n v="7"/>
    <n v="166.98"/>
    <n v="1168.8599999999999"/>
    <s v="High"/>
    <s v="Bulk"/>
  </r>
  <r>
    <s v="ORD0244"/>
    <x v="13"/>
    <x v="4"/>
    <x v="0"/>
    <x v="2"/>
    <x v="0"/>
    <x v="3"/>
    <x v="0"/>
    <n v="3"/>
    <n v="40.39"/>
    <n v="121.17"/>
    <s v="Low"/>
    <s v="Normal"/>
  </r>
  <r>
    <s v="ORD0245"/>
    <x v="25"/>
    <x v="9"/>
    <x v="3"/>
    <x v="1"/>
    <x v="0"/>
    <x v="4"/>
    <x v="0"/>
    <n v="4"/>
    <n v="44.56"/>
    <n v="178.24"/>
    <s v="Low"/>
    <s v="Normal"/>
  </r>
  <r>
    <s v="ORD0246"/>
    <x v="16"/>
    <x v="1"/>
    <x v="1"/>
    <x v="2"/>
    <x v="1"/>
    <x v="3"/>
    <x v="0"/>
    <n v="5"/>
    <n v="280.10000000000002"/>
    <n v="1400.5"/>
    <s v="High"/>
    <s v="Bulk"/>
  </r>
  <r>
    <s v="ORD0247"/>
    <x v="17"/>
    <x v="2"/>
    <x v="0"/>
    <x v="3"/>
    <x v="1"/>
    <x v="1"/>
    <x v="0"/>
    <n v="1"/>
    <n v="23.54"/>
    <n v="23.54"/>
    <s v="Low"/>
    <s v="Normal"/>
  </r>
  <r>
    <s v="ORD0248"/>
    <x v="10"/>
    <x v="9"/>
    <x v="3"/>
    <x v="3"/>
    <x v="0"/>
    <x v="5"/>
    <x v="1"/>
    <n v="6"/>
    <n v="47.8"/>
    <n v="286.8"/>
    <s v="Low"/>
    <s v="Bulk"/>
  </r>
  <r>
    <s v="ORD0249"/>
    <x v="9"/>
    <x v="1"/>
    <x v="1"/>
    <x v="2"/>
    <x v="2"/>
    <x v="4"/>
    <x v="0"/>
    <n v="9"/>
    <n v="238.23"/>
    <n v="2144.0700000000002"/>
    <s v="High"/>
    <s v="Bulk"/>
  </r>
  <r>
    <s v="ORD0250"/>
    <x v="5"/>
    <x v="3"/>
    <x v="2"/>
    <x v="1"/>
    <x v="1"/>
    <x v="2"/>
    <x v="0"/>
    <n v="4"/>
    <n v="2.95"/>
    <n v="11.8"/>
    <s v="Low"/>
    <s v="Normal"/>
  </r>
  <r>
    <s v="ORD0251"/>
    <x v="8"/>
    <x v="3"/>
    <x v="2"/>
    <x v="2"/>
    <x v="2"/>
    <x v="2"/>
    <x v="1"/>
    <n v="4"/>
    <n v="3.27"/>
    <n v="13.08"/>
    <s v="Low"/>
    <s v="Normal"/>
  </r>
  <r>
    <s v="ORD0252"/>
    <x v="6"/>
    <x v="9"/>
    <x v="3"/>
    <x v="0"/>
    <x v="5"/>
    <x v="3"/>
    <x v="1"/>
    <n v="10"/>
    <n v="44.81"/>
    <n v="448.1"/>
    <s v="Low"/>
    <s v="Bulk"/>
  </r>
  <r>
    <s v="ORD0253"/>
    <x v="16"/>
    <x v="7"/>
    <x v="1"/>
    <x v="3"/>
    <x v="0"/>
    <x v="2"/>
    <x v="0"/>
    <n v="8"/>
    <n v="127.8"/>
    <n v="1022.4"/>
    <s v="High"/>
    <s v="Bulk"/>
  </r>
  <r>
    <s v="ORD0254"/>
    <x v="14"/>
    <x v="8"/>
    <x v="0"/>
    <x v="1"/>
    <x v="1"/>
    <x v="1"/>
    <x v="0"/>
    <n v="3"/>
    <n v="164.25"/>
    <n v="492.75"/>
    <s v="Low"/>
    <s v="Normal"/>
  </r>
  <r>
    <s v="ORD0255"/>
    <x v="23"/>
    <x v="2"/>
    <x v="0"/>
    <x v="1"/>
    <x v="3"/>
    <x v="4"/>
    <x v="0"/>
    <n v="2"/>
    <n v="23.13"/>
    <n v="46.26"/>
    <s v="Low"/>
    <s v="Normal"/>
  </r>
  <r>
    <s v="ORD0256"/>
    <x v="6"/>
    <x v="6"/>
    <x v="0"/>
    <x v="0"/>
    <x v="0"/>
    <x v="4"/>
    <x v="1"/>
    <n v="9"/>
    <n v="662"/>
    <n v="5958"/>
    <s v="High"/>
    <s v="Bulk"/>
  </r>
  <r>
    <s v="ORD0257"/>
    <x v="24"/>
    <x v="3"/>
    <x v="2"/>
    <x v="0"/>
    <x v="1"/>
    <x v="2"/>
    <x v="0"/>
    <n v="6"/>
    <n v="3.41"/>
    <n v="20.46"/>
    <s v="Low"/>
    <s v="Bulk"/>
  </r>
  <r>
    <s v="ORD0258"/>
    <x v="11"/>
    <x v="7"/>
    <x v="1"/>
    <x v="2"/>
    <x v="0"/>
    <x v="2"/>
    <x v="1"/>
    <n v="10"/>
    <n v="133.74"/>
    <n v="1337.4"/>
    <s v="High"/>
    <s v="Bulk"/>
  </r>
  <r>
    <s v="ORD0259"/>
    <x v="14"/>
    <x v="8"/>
    <x v="0"/>
    <x v="2"/>
    <x v="4"/>
    <x v="1"/>
    <x v="0"/>
    <n v="5"/>
    <n v="170.3"/>
    <n v="851.5"/>
    <s v="Low"/>
    <s v="Bulk"/>
  </r>
  <r>
    <s v="ORD0260"/>
    <x v="23"/>
    <x v="8"/>
    <x v="0"/>
    <x v="0"/>
    <x v="0"/>
    <x v="3"/>
    <x v="0"/>
    <n v="3"/>
    <n v="213.14"/>
    <n v="639.41999999999996"/>
    <s v="Low"/>
    <s v="Normal"/>
  </r>
  <r>
    <s v="ORD0261"/>
    <x v="12"/>
    <x v="0"/>
    <x v="0"/>
    <x v="1"/>
    <x v="2"/>
    <x v="1"/>
    <x v="0"/>
    <n v="5"/>
    <n v="159.33000000000001"/>
    <n v="796.65"/>
    <s v="Low"/>
    <s v="Bulk"/>
  </r>
  <r>
    <s v="ORD0262"/>
    <x v="14"/>
    <x v="4"/>
    <x v="0"/>
    <x v="3"/>
    <x v="2"/>
    <x v="3"/>
    <x v="1"/>
    <n v="2"/>
    <n v="32.619999999999997"/>
    <n v="65.239999999999995"/>
    <s v="Low"/>
    <s v="Normal"/>
  </r>
  <r>
    <s v="ORD0263"/>
    <x v="15"/>
    <x v="7"/>
    <x v="1"/>
    <x v="0"/>
    <x v="1"/>
    <x v="2"/>
    <x v="1"/>
    <n v="7"/>
    <n v="115.18"/>
    <n v="806.26"/>
    <s v="Low"/>
    <s v="Bulk"/>
  </r>
  <r>
    <s v="ORD0264"/>
    <x v="15"/>
    <x v="3"/>
    <x v="2"/>
    <x v="0"/>
    <x v="0"/>
    <x v="2"/>
    <x v="1"/>
    <n v="8"/>
    <n v="3.49"/>
    <n v="27.92"/>
    <s v="Low"/>
    <s v="Bulk"/>
  </r>
  <r>
    <s v="ORD0265"/>
    <x v="10"/>
    <x v="1"/>
    <x v="1"/>
    <x v="3"/>
    <x v="0"/>
    <x v="1"/>
    <x v="1"/>
    <n v="9"/>
    <n v="296.58"/>
    <n v="2669.22"/>
    <s v="High"/>
    <s v="Bulk"/>
  </r>
  <r>
    <s v="ORD0266"/>
    <x v="10"/>
    <x v="7"/>
    <x v="1"/>
    <x v="1"/>
    <x v="1"/>
    <x v="2"/>
    <x v="0"/>
    <n v="6"/>
    <n v="121.19"/>
    <n v="727.14"/>
    <s v="Low"/>
    <s v="Bulk"/>
  </r>
  <r>
    <s v="ORD0267"/>
    <x v="18"/>
    <x v="5"/>
    <x v="2"/>
    <x v="2"/>
    <x v="5"/>
    <x v="1"/>
    <x v="1"/>
    <n v="2"/>
    <n v="5.76"/>
    <n v="11.52"/>
    <s v="Low"/>
    <s v="Normal"/>
  </r>
  <r>
    <s v="ORD0268"/>
    <x v="0"/>
    <x v="8"/>
    <x v="0"/>
    <x v="0"/>
    <x v="1"/>
    <x v="1"/>
    <x v="0"/>
    <n v="9"/>
    <n v="187.61"/>
    <n v="1688.49"/>
    <s v="High"/>
    <s v="Bulk"/>
  </r>
  <r>
    <s v="ORD0269"/>
    <x v="12"/>
    <x v="1"/>
    <x v="1"/>
    <x v="0"/>
    <x v="4"/>
    <x v="5"/>
    <x v="1"/>
    <n v="2"/>
    <n v="292.14999999999998"/>
    <n v="584.29999999999995"/>
    <s v="Low"/>
    <s v="Normal"/>
  </r>
  <r>
    <s v="ORD0270"/>
    <x v="20"/>
    <x v="5"/>
    <x v="2"/>
    <x v="2"/>
    <x v="4"/>
    <x v="0"/>
    <x v="1"/>
    <n v="3"/>
    <n v="5.35"/>
    <n v="16.05"/>
    <s v="Low"/>
    <s v="Normal"/>
  </r>
  <r>
    <s v="ORD0271"/>
    <x v="0"/>
    <x v="7"/>
    <x v="1"/>
    <x v="3"/>
    <x v="4"/>
    <x v="2"/>
    <x v="1"/>
    <n v="2"/>
    <n v="126.3"/>
    <n v="252.6"/>
    <s v="Low"/>
    <s v="Normal"/>
  </r>
  <r>
    <s v="ORD0272"/>
    <x v="3"/>
    <x v="7"/>
    <x v="1"/>
    <x v="3"/>
    <x v="2"/>
    <x v="3"/>
    <x v="1"/>
    <n v="7"/>
    <n v="118.09"/>
    <n v="826.63"/>
    <s v="Low"/>
    <s v="Bulk"/>
  </r>
  <r>
    <s v="ORD0273"/>
    <x v="19"/>
    <x v="5"/>
    <x v="2"/>
    <x v="1"/>
    <x v="4"/>
    <x v="2"/>
    <x v="0"/>
    <n v="9"/>
    <n v="4.51"/>
    <n v="40.590000000000003"/>
    <s v="Low"/>
    <s v="Bulk"/>
  </r>
  <r>
    <s v="ORD0274"/>
    <x v="5"/>
    <x v="9"/>
    <x v="3"/>
    <x v="1"/>
    <x v="3"/>
    <x v="5"/>
    <x v="1"/>
    <n v="2"/>
    <n v="42.76"/>
    <n v="85.52"/>
    <s v="Low"/>
    <s v="Normal"/>
  </r>
  <r>
    <s v="ORD0275"/>
    <x v="10"/>
    <x v="4"/>
    <x v="0"/>
    <x v="3"/>
    <x v="5"/>
    <x v="2"/>
    <x v="0"/>
    <n v="1"/>
    <n v="35.840000000000003"/>
    <n v="35.840000000000003"/>
    <s v="Low"/>
    <s v="Normal"/>
  </r>
  <r>
    <s v="ORD0276"/>
    <x v="7"/>
    <x v="8"/>
    <x v="0"/>
    <x v="1"/>
    <x v="3"/>
    <x v="1"/>
    <x v="0"/>
    <n v="6"/>
    <n v="174.16"/>
    <n v="1044.96"/>
    <s v="High"/>
    <s v="Bulk"/>
  </r>
  <r>
    <s v="ORD0277"/>
    <x v="4"/>
    <x v="0"/>
    <x v="0"/>
    <x v="2"/>
    <x v="5"/>
    <x v="0"/>
    <x v="0"/>
    <n v="3"/>
    <n v="140.34"/>
    <n v="421.02"/>
    <s v="Low"/>
    <s v="Normal"/>
  </r>
  <r>
    <s v="ORD0278"/>
    <x v="2"/>
    <x v="6"/>
    <x v="0"/>
    <x v="1"/>
    <x v="0"/>
    <x v="0"/>
    <x v="0"/>
    <n v="4"/>
    <n v="785.19"/>
    <n v="3140.76"/>
    <s v="High"/>
    <s v="Normal"/>
  </r>
  <r>
    <s v="ORD0279"/>
    <x v="14"/>
    <x v="8"/>
    <x v="0"/>
    <x v="3"/>
    <x v="0"/>
    <x v="2"/>
    <x v="0"/>
    <n v="3"/>
    <n v="197.94"/>
    <n v="593.82000000000005"/>
    <s v="Low"/>
    <s v="Normal"/>
  </r>
  <r>
    <s v="ORD0280"/>
    <x v="18"/>
    <x v="8"/>
    <x v="0"/>
    <x v="0"/>
    <x v="4"/>
    <x v="2"/>
    <x v="1"/>
    <n v="4"/>
    <n v="206.7"/>
    <n v="826.8"/>
    <s v="Low"/>
    <s v="Normal"/>
  </r>
  <r>
    <s v="ORD0281"/>
    <x v="7"/>
    <x v="3"/>
    <x v="2"/>
    <x v="2"/>
    <x v="4"/>
    <x v="1"/>
    <x v="0"/>
    <n v="8"/>
    <n v="3.39"/>
    <n v="27.12"/>
    <s v="Low"/>
    <s v="Bulk"/>
  </r>
  <r>
    <s v="ORD0282"/>
    <x v="22"/>
    <x v="5"/>
    <x v="2"/>
    <x v="2"/>
    <x v="1"/>
    <x v="2"/>
    <x v="0"/>
    <n v="6"/>
    <n v="5.62"/>
    <n v="33.72"/>
    <s v="Low"/>
    <s v="Bulk"/>
  </r>
  <r>
    <s v="ORD0283"/>
    <x v="4"/>
    <x v="7"/>
    <x v="1"/>
    <x v="0"/>
    <x v="5"/>
    <x v="1"/>
    <x v="1"/>
    <n v="8"/>
    <n v="110.28"/>
    <n v="882.24"/>
    <s v="Low"/>
    <s v="Bulk"/>
  </r>
  <r>
    <s v="ORD0284"/>
    <x v="1"/>
    <x v="5"/>
    <x v="2"/>
    <x v="2"/>
    <x v="0"/>
    <x v="2"/>
    <x v="0"/>
    <n v="7"/>
    <n v="5.96"/>
    <n v="41.72"/>
    <s v="Low"/>
    <s v="Bulk"/>
  </r>
  <r>
    <s v="ORD0285"/>
    <x v="24"/>
    <x v="2"/>
    <x v="0"/>
    <x v="1"/>
    <x v="4"/>
    <x v="0"/>
    <x v="0"/>
    <n v="1"/>
    <n v="18.309999999999999"/>
    <n v="18.309999999999999"/>
    <s v="Low"/>
    <s v="Normal"/>
  </r>
  <r>
    <s v="ORD0286"/>
    <x v="25"/>
    <x v="0"/>
    <x v="0"/>
    <x v="3"/>
    <x v="1"/>
    <x v="3"/>
    <x v="1"/>
    <n v="9"/>
    <n v="138.66"/>
    <n v="1247.94"/>
    <s v="High"/>
    <s v="Bulk"/>
  </r>
  <r>
    <s v="ORD0287"/>
    <x v="5"/>
    <x v="6"/>
    <x v="0"/>
    <x v="1"/>
    <x v="3"/>
    <x v="5"/>
    <x v="1"/>
    <n v="6"/>
    <n v="769.92"/>
    <n v="4619.5200000000004"/>
    <s v="High"/>
    <s v="Bulk"/>
  </r>
  <r>
    <s v="ORD0288"/>
    <x v="5"/>
    <x v="1"/>
    <x v="1"/>
    <x v="3"/>
    <x v="5"/>
    <x v="0"/>
    <x v="0"/>
    <n v="5"/>
    <n v="257.31"/>
    <n v="1286.55"/>
    <s v="High"/>
    <s v="Bulk"/>
  </r>
  <r>
    <s v="ORD0289"/>
    <x v="25"/>
    <x v="8"/>
    <x v="0"/>
    <x v="1"/>
    <x v="5"/>
    <x v="4"/>
    <x v="0"/>
    <n v="1"/>
    <n v="192.97"/>
    <n v="192.97"/>
    <s v="Low"/>
    <s v="Normal"/>
  </r>
  <r>
    <s v="ORD0290"/>
    <x v="15"/>
    <x v="1"/>
    <x v="1"/>
    <x v="2"/>
    <x v="3"/>
    <x v="5"/>
    <x v="1"/>
    <n v="6"/>
    <n v="273.37"/>
    <n v="1640.22"/>
    <s v="High"/>
    <s v="Bulk"/>
  </r>
  <r>
    <s v="ORD0291"/>
    <x v="6"/>
    <x v="4"/>
    <x v="0"/>
    <x v="0"/>
    <x v="0"/>
    <x v="3"/>
    <x v="0"/>
    <n v="9"/>
    <n v="40.450000000000003"/>
    <n v="364.05"/>
    <s v="Low"/>
    <s v="Bulk"/>
  </r>
  <r>
    <s v="ORD0292"/>
    <x v="3"/>
    <x v="1"/>
    <x v="1"/>
    <x v="0"/>
    <x v="3"/>
    <x v="2"/>
    <x v="1"/>
    <n v="5"/>
    <n v="287.68"/>
    <n v="1438.4"/>
    <s v="High"/>
    <s v="Bulk"/>
  </r>
  <r>
    <s v="ORD0293"/>
    <x v="3"/>
    <x v="3"/>
    <x v="2"/>
    <x v="0"/>
    <x v="4"/>
    <x v="5"/>
    <x v="0"/>
    <n v="8"/>
    <n v="3.45"/>
    <n v="27.6"/>
    <s v="Low"/>
    <s v="Bulk"/>
  </r>
  <r>
    <s v="ORD0294"/>
    <x v="16"/>
    <x v="4"/>
    <x v="0"/>
    <x v="1"/>
    <x v="2"/>
    <x v="4"/>
    <x v="1"/>
    <n v="2"/>
    <n v="36.94"/>
    <n v="73.88"/>
    <s v="Low"/>
    <s v="Normal"/>
  </r>
  <r>
    <s v="ORD0295"/>
    <x v="8"/>
    <x v="0"/>
    <x v="0"/>
    <x v="1"/>
    <x v="2"/>
    <x v="5"/>
    <x v="0"/>
    <n v="7"/>
    <n v="151.16"/>
    <n v="1058.1199999999999"/>
    <s v="High"/>
    <s v="Bulk"/>
  </r>
  <r>
    <s v="ORD0296"/>
    <x v="11"/>
    <x v="0"/>
    <x v="0"/>
    <x v="3"/>
    <x v="1"/>
    <x v="4"/>
    <x v="1"/>
    <n v="7"/>
    <n v="153.66999999999999"/>
    <n v="1075.69"/>
    <s v="High"/>
    <s v="Bulk"/>
  </r>
  <r>
    <s v="ORD0297"/>
    <x v="13"/>
    <x v="1"/>
    <x v="1"/>
    <x v="3"/>
    <x v="0"/>
    <x v="4"/>
    <x v="1"/>
    <n v="9"/>
    <n v="267.73"/>
    <n v="2409.5700000000002"/>
    <s v="High"/>
    <s v="Bulk"/>
  </r>
  <r>
    <s v="ORD0298"/>
    <x v="2"/>
    <x v="1"/>
    <x v="1"/>
    <x v="3"/>
    <x v="4"/>
    <x v="1"/>
    <x v="1"/>
    <n v="2"/>
    <n v="280.99"/>
    <n v="561.98"/>
    <s v="Low"/>
    <s v="Normal"/>
  </r>
  <r>
    <s v="ORD0299"/>
    <x v="13"/>
    <x v="6"/>
    <x v="0"/>
    <x v="2"/>
    <x v="2"/>
    <x v="0"/>
    <x v="0"/>
    <n v="9"/>
    <n v="655.26"/>
    <n v="5897.34"/>
    <s v="High"/>
    <s v="Bulk"/>
  </r>
  <r>
    <s v="ORD0300"/>
    <x v="25"/>
    <x v="3"/>
    <x v="2"/>
    <x v="0"/>
    <x v="0"/>
    <x v="4"/>
    <x v="1"/>
    <n v="5"/>
    <n v="2.76"/>
    <n v="13.8"/>
    <s v="Low"/>
    <s v="Bulk"/>
  </r>
  <r>
    <s v="ORD0301"/>
    <x v="10"/>
    <x v="8"/>
    <x v="0"/>
    <x v="2"/>
    <x v="5"/>
    <x v="4"/>
    <x v="1"/>
    <n v="5"/>
    <n v="210.57"/>
    <n v="1052.8499999999999"/>
    <s v="High"/>
    <s v="Bulk"/>
  </r>
  <r>
    <s v="ORD0302"/>
    <x v="6"/>
    <x v="2"/>
    <x v="0"/>
    <x v="1"/>
    <x v="5"/>
    <x v="1"/>
    <x v="1"/>
    <n v="3"/>
    <n v="23.7"/>
    <n v="71.099999999999994"/>
    <s v="Low"/>
    <s v="Normal"/>
  </r>
  <r>
    <s v="ORD0303"/>
    <x v="12"/>
    <x v="5"/>
    <x v="2"/>
    <x v="3"/>
    <x v="1"/>
    <x v="3"/>
    <x v="0"/>
    <n v="7"/>
    <n v="4.79"/>
    <n v="33.53"/>
    <s v="Low"/>
    <s v="Bulk"/>
  </r>
  <r>
    <s v="ORD0304"/>
    <x v="21"/>
    <x v="4"/>
    <x v="0"/>
    <x v="1"/>
    <x v="2"/>
    <x v="3"/>
    <x v="1"/>
    <n v="8"/>
    <n v="34.89"/>
    <n v="279.12"/>
    <s v="Low"/>
    <s v="Bulk"/>
  </r>
  <r>
    <s v="ORD0305"/>
    <x v="6"/>
    <x v="5"/>
    <x v="2"/>
    <x v="2"/>
    <x v="2"/>
    <x v="3"/>
    <x v="0"/>
    <n v="5"/>
    <n v="4.57"/>
    <n v="22.85"/>
    <s v="Low"/>
    <s v="Bulk"/>
  </r>
  <r>
    <s v="ORD0306"/>
    <x v="1"/>
    <x v="7"/>
    <x v="1"/>
    <x v="0"/>
    <x v="3"/>
    <x v="4"/>
    <x v="0"/>
    <n v="5"/>
    <n v="130.13"/>
    <n v="650.65"/>
    <s v="Low"/>
    <s v="Bulk"/>
  </r>
  <r>
    <s v="ORD0307"/>
    <x v="4"/>
    <x v="7"/>
    <x v="1"/>
    <x v="0"/>
    <x v="1"/>
    <x v="0"/>
    <x v="0"/>
    <n v="7"/>
    <n v="120.58"/>
    <n v="844.06"/>
    <s v="Low"/>
    <s v="Bulk"/>
  </r>
  <r>
    <s v="ORD0308"/>
    <x v="7"/>
    <x v="5"/>
    <x v="2"/>
    <x v="3"/>
    <x v="4"/>
    <x v="0"/>
    <x v="0"/>
    <n v="9"/>
    <n v="5.49"/>
    <n v="49.41"/>
    <s v="Low"/>
    <s v="Bulk"/>
  </r>
  <r>
    <s v="ORD0309"/>
    <x v="5"/>
    <x v="5"/>
    <x v="2"/>
    <x v="2"/>
    <x v="2"/>
    <x v="1"/>
    <x v="0"/>
    <n v="2"/>
    <n v="5.51"/>
    <n v="11.02"/>
    <s v="Low"/>
    <s v="Normal"/>
  </r>
  <r>
    <s v="ORD0310"/>
    <x v="21"/>
    <x v="4"/>
    <x v="0"/>
    <x v="3"/>
    <x v="2"/>
    <x v="3"/>
    <x v="0"/>
    <n v="4"/>
    <n v="41.95"/>
    <n v="167.8"/>
    <s v="Low"/>
    <s v="Normal"/>
  </r>
  <r>
    <s v="ORD0311"/>
    <x v="23"/>
    <x v="8"/>
    <x v="0"/>
    <x v="1"/>
    <x v="5"/>
    <x v="3"/>
    <x v="0"/>
    <n v="5"/>
    <n v="211.53"/>
    <n v="1057.6500000000001"/>
    <s v="High"/>
    <s v="Bulk"/>
  </r>
  <r>
    <s v="ORD0312"/>
    <x v="18"/>
    <x v="7"/>
    <x v="1"/>
    <x v="2"/>
    <x v="4"/>
    <x v="2"/>
    <x v="1"/>
    <n v="4"/>
    <n v="133.91999999999999"/>
    <n v="535.67999999999995"/>
    <s v="Low"/>
    <s v="Normal"/>
  </r>
  <r>
    <s v="ORD0313"/>
    <x v="16"/>
    <x v="5"/>
    <x v="2"/>
    <x v="3"/>
    <x v="2"/>
    <x v="4"/>
    <x v="1"/>
    <n v="3"/>
    <n v="4.79"/>
    <n v="14.37"/>
    <s v="Low"/>
    <s v="Normal"/>
  </r>
  <r>
    <s v="ORD0314"/>
    <x v="16"/>
    <x v="1"/>
    <x v="1"/>
    <x v="3"/>
    <x v="1"/>
    <x v="5"/>
    <x v="0"/>
    <n v="6"/>
    <n v="260.19"/>
    <n v="1561.14"/>
    <s v="High"/>
    <s v="Bulk"/>
  </r>
  <r>
    <s v="ORD0315"/>
    <x v="24"/>
    <x v="7"/>
    <x v="1"/>
    <x v="0"/>
    <x v="1"/>
    <x v="1"/>
    <x v="1"/>
    <n v="6"/>
    <n v="113.63"/>
    <n v="681.78"/>
    <s v="Low"/>
    <s v="Bulk"/>
  </r>
  <r>
    <s v="ORD0316"/>
    <x v="6"/>
    <x v="5"/>
    <x v="2"/>
    <x v="1"/>
    <x v="3"/>
    <x v="4"/>
    <x v="0"/>
    <n v="4"/>
    <n v="5.71"/>
    <n v="22.84"/>
    <s v="Low"/>
    <s v="Normal"/>
  </r>
  <r>
    <s v="ORD0317"/>
    <x v="1"/>
    <x v="8"/>
    <x v="0"/>
    <x v="1"/>
    <x v="3"/>
    <x v="2"/>
    <x v="0"/>
    <n v="3"/>
    <n v="200.78"/>
    <n v="602.34"/>
    <s v="Low"/>
    <s v="Normal"/>
  </r>
  <r>
    <s v="ORD0318"/>
    <x v="22"/>
    <x v="7"/>
    <x v="1"/>
    <x v="0"/>
    <x v="2"/>
    <x v="0"/>
    <x v="1"/>
    <n v="7"/>
    <n v="120.93"/>
    <n v="846.51"/>
    <s v="Low"/>
    <s v="Bulk"/>
  </r>
  <r>
    <s v="ORD0319"/>
    <x v="25"/>
    <x v="2"/>
    <x v="0"/>
    <x v="0"/>
    <x v="0"/>
    <x v="1"/>
    <x v="0"/>
    <n v="4"/>
    <n v="18.68"/>
    <n v="74.72"/>
    <s v="Low"/>
    <s v="Normal"/>
  </r>
  <r>
    <s v="ORD0320"/>
    <x v="26"/>
    <x v="3"/>
    <x v="2"/>
    <x v="1"/>
    <x v="1"/>
    <x v="4"/>
    <x v="1"/>
    <n v="7"/>
    <n v="3.51"/>
    <n v="24.57"/>
    <s v="Low"/>
    <s v="Bulk"/>
  </r>
  <r>
    <s v="ORD0321"/>
    <x v="9"/>
    <x v="4"/>
    <x v="0"/>
    <x v="0"/>
    <x v="2"/>
    <x v="5"/>
    <x v="0"/>
    <n v="2"/>
    <n v="32.86"/>
    <n v="65.72"/>
    <s v="Low"/>
    <s v="Normal"/>
  </r>
  <r>
    <s v="ORD0322"/>
    <x v="19"/>
    <x v="3"/>
    <x v="2"/>
    <x v="0"/>
    <x v="5"/>
    <x v="3"/>
    <x v="1"/>
    <n v="7"/>
    <n v="3.14"/>
    <n v="21.98"/>
    <s v="Low"/>
    <s v="Bulk"/>
  </r>
  <r>
    <s v="ORD0323"/>
    <x v="18"/>
    <x v="9"/>
    <x v="3"/>
    <x v="2"/>
    <x v="3"/>
    <x v="3"/>
    <x v="0"/>
    <n v="10"/>
    <n v="38.86"/>
    <n v="388.6"/>
    <s v="Low"/>
    <s v="Bulk"/>
  </r>
  <r>
    <s v="ORD0324"/>
    <x v="9"/>
    <x v="9"/>
    <x v="3"/>
    <x v="3"/>
    <x v="5"/>
    <x v="3"/>
    <x v="0"/>
    <n v="7"/>
    <n v="45.83"/>
    <n v="320.81"/>
    <s v="Low"/>
    <s v="Bulk"/>
  </r>
  <r>
    <s v="ORD0325"/>
    <x v="2"/>
    <x v="7"/>
    <x v="1"/>
    <x v="1"/>
    <x v="4"/>
    <x v="2"/>
    <x v="1"/>
    <n v="10"/>
    <n v="114.39"/>
    <n v="1143.9000000000001"/>
    <s v="High"/>
    <s v="Bulk"/>
  </r>
  <r>
    <s v="ORD0326"/>
    <x v="26"/>
    <x v="2"/>
    <x v="0"/>
    <x v="0"/>
    <x v="2"/>
    <x v="0"/>
    <x v="1"/>
    <n v="9"/>
    <n v="23.82"/>
    <n v="214.38"/>
    <s v="Low"/>
    <s v="Bulk"/>
  </r>
  <r>
    <s v="ORD0327"/>
    <x v="7"/>
    <x v="8"/>
    <x v="0"/>
    <x v="3"/>
    <x v="1"/>
    <x v="3"/>
    <x v="0"/>
    <n v="10"/>
    <n v="201.17"/>
    <n v="2011.7"/>
    <s v="High"/>
    <s v="Bulk"/>
  </r>
  <r>
    <s v="ORD0328"/>
    <x v="11"/>
    <x v="9"/>
    <x v="3"/>
    <x v="3"/>
    <x v="2"/>
    <x v="2"/>
    <x v="1"/>
    <n v="7"/>
    <n v="36.950000000000003"/>
    <n v="258.64999999999998"/>
    <s v="Low"/>
    <s v="Bulk"/>
  </r>
  <r>
    <s v="ORD0329"/>
    <x v="16"/>
    <x v="1"/>
    <x v="1"/>
    <x v="0"/>
    <x v="5"/>
    <x v="3"/>
    <x v="0"/>
    <n v="9"/>
    <n v="244.55"/>
    <n v="2200.9499999999998"/>
    <s v="High"/>
    <s v="Bulk"/>
  </r>
  <r>
    <s v="ORD0330"/>
    <x v="6"/>
    <x v="3"/>
    <x v="2"/>
    <x v="2"/>
    <x v="0"/>
    <x v="0"/>
    <x v="1"/>
    <n v="4"/>
    <n v="2.88"/>
    <n v="11.52"/>
    <s v="Low"/>
    <s v="Normal"/>
  </r>
  <r>
    <s v="ORD0331"/>
    <x v="7"/>
    <x v="5"/>
    <x v="2"/>
    <x v="2"/>
    <x v="4"/>
    <x v="1"/>
    <x v="0"/>
    <n v="3"/>
    <n v="5.26"/>
    <n v="15.78"/>
    <s v="Low"/>
    <s v="Normal"/>
  </r>
  <r>
    <s v="ORD0332"/>
    <x v="23"/>
    <x v="8"/>
    <x v="0"/>
    <x v="3"/>
    <x v="4"/>
    <x v="2"/>
    <x v="0"/>
    <n v="5"/>
    <n v="168.04"/>
    <n v="840.2"/>
    <s v="Low"/>
    <s v="Bulk"/>
  </r>
  <r>
    <s v="ORD0333"/>
    <x v="3"/>
    <x v="3"/>
    <x v="2"/>
    <x v="2"/>
    <x v="2"/>
    <x v="0"/>
    <x v="0"/>
    <n v="10"/>
    <n v="3.12"/>
    <n v="31.2"/>
    <s v="Low"/>
    <s v="Bulk"/>
  </r>
  <r>
    <s v="ORD0334"/>
    <x v="24"/>
    <x v="1"/>
    <x v="1"/>
    <x v="1"/>
    <x v="3"/>
    <x v="3"/>
    <x v="0"/>
    <n v="2"/>
    <n v="240.68"/>
    <n v="481.36"/>
    <s v="Low"/>
    <s v="Normal"/>
  </r>
  <r>
    <s v="ORD0335"/>
    <x v="18"/>
    <x v="5"/>
    <x v="2"/>
    <x v="1"/>
    <x v="2"/>
    <x v="1"/>
    <x v="1"/>
    <n v="6"/>
    <n v="5.95"/>
    <n v="35.700000000000003"/>
    <s v="Low"/>
    <s v="Bulk"/>
  </r>
  <r>
    <s v="ORD0336"/>
    <x v="14"/>
    <x v="9"/>
    <x v="3"/>
    <x v="3"/>
    <x v="2"/>
    <x v="2"/>
    <x v="0"/>
    <n v="1"/>
    <n v="39.799999999999997"/>
    <n v="39.799999999999997"/>
    <s v="Low"/>
    <s v="Normal"/>
  </r>
  <r>
    <s v="ORD0337"/>
    <x v="19"/>
    <x v="4"/>
    <x v="0"/>
    <x v="1"/>
    <x v="5"/>
    <x v="2"/>
    <x v="1"/>
    <n v="3"/>
    <n v="35.770000000000003"/>
    <n v="107.31"/>
    <s v="Low"/>
    <s v="Normal"/>
  </r>
  <r>
    <s v="ORD0338"/>
    <x v="27"/>
    <x v="9"/>
    <x v="3"/>
    <x v="1"/>
    <x v="4"/>
    <x v="5"/>
    <x v="1"/>
    <n v="7"/>
    <n v="46.07"/>
    <n v="322.49"/>
    <s v="Low"/>
    <s v="Bulk"/>
  </r>
  <r>
    <s v="ORD0339"/>
    <x v="10"/>
    <x v="4"/>
    <x v="0"/>
    <x v="3"/>
    <x v="1"/>
    <x v="0"/>
    <x v="1"/>
    <n v="7"/>
    <n v="37.35"/>
    <n v="261.45"/>
    <s v="Low"/>
    <s v="Bulk"/>
  </r>
  <r>
    <s v="ORD0340"/>
    <x v="16"/>
    <x v="5"/>
    <x v="2"/>
    <x v="0"/>
    <x v="2"/>
    <x v="0"/>
    <x v="0"/>
    <n v="2"/>
    <n v="5.05"/>
    <n v="10.1"/>
    <s v="Low"/>
    <s v="Normal"/>
  </r>
  <r>
    <s v="ORD0341"/>
    <x v="26"/>
    <x v="9"/>
    <x v="3"/>
    <x v="2"/>
    <x v="3"/>
    <x v="5"/>
    <x v="1"/>
    <n v="4"/>
    <n v="42.38"/>
    <n v="169.52"/>
    <s v="Low"/>
    <s v="Normal"/>
  </r>
  <r>
    <s v="ORD0342"/>
    <x v="9"/>
    <x v="0"/>
    <x v="0"/>
    <x v="1"/>
    <x v="2"/>
    <x v="4"/>
    <x v="1"/>
    <n v="10"/>
    <n v="158.12"/>
    <n v="1581.2"/>
    <s v="High"/>
    <s v="Bulk"/>
  </r>
  <r>
    <s v="ORD0343"/>
    <x v="4"/>
    <x v="2"/>
    <x v="0"/>
    <x v="0"/>
    <x v="0"/>
    <x v="2"/>
    <x v="0"/>
    <n v="7"/>
    <n v="23.76"/>
    <n v="166.32"/>
    <s v="Low"/>
    <s v="Bulk"/>
  </r>
  <r>
    <s v="ORD0344"/>
    <x v="1"/>
    <x v="2"/>
    <x v="0"/>
    <x v="0"/>
    <x v="2"/>
    <x v="0"/>
    <x v="0"/>
    <n v="5"/>
    <n v="19.75"/>
    <n v="98.75"/>
    <s v="Low"/>
    <s v="Bulk"/>
  </r>
  <r>
    <s v="ORD0345"/>
    <x v="5"/>
    <x v="5"/>
    <x v="2"/>
    <x v="1"/>
    <x v="1"/>
    <x v="0"/>
    <x v="0"/>
    <n v="10"/>
    <n v="4.83"/>
    <n v="48.3"/>
    <s v="Low"/>
    <s v="Bulk"/>
  </r>
  <r>
    <s v="ORD0346"/>
    <x v="1"/>
    <x v="5"/>
    <x v="2"/>
    <x v="0"/>
    <x v="1"/>
    <x v="1"/>
    <x v="0"/>
    <n v="6"/>
    <n v="5.0999999999999996"/>
    <n v="30.6"/>
    <s v="Low"/>
    <s v="Bulk"/>
  </r>
  <r>
    <s v="ORD0347"/>
    <x v="17"/>
    <x v="3"/>
    <x v="2"/>
    <x v="1"/>
    <x v="2"/>
    <x v="0"/>
    <x v="0"/>
    <n v="7"/>
    <n v="3.22"/>
    <n v="22.54"/>
    <s v="Low"/>
    <s v="Bulk"/>
  </r>
  <r>
    <s v="ORD0348"/>
    <x v="23"/>
    <x v="1"/>
    <x v="1"/>
    <x v="0"/>
    <x v="1"/>
    <x v="4"/>
    <x v="1"/>
    <n v="4"/>
    <n v="256.98"/>
    <n v="1027.92"/>
    <s v="High"/>
    <s v="Normal"/>
  </r>
  <r>
    <s v="ORD0349"/>
    <x v="6"/>
    <x v="4"/>
    <x v="0"/>
    <x v="0"/>
    <x v="5"/>
    <x v="5"/>
    <x v="0"/>
    <n v="10"/>
    <n v="31.7"/>
    <n v="317"/>
    <s v="Low"/>
    <s v="Bulk"/>
  </r>
  <r>
    <s v="ORD0350"/>
    <x v="15"/>
    <x v="2"/>
    <x v="0"/>
    <x v="3"/>
    <x v="2"/>
    <x v="4"/>
    <x v="1"/>
    <n v="9"/>
    <n v="19.32"/>
    <n v="173.88"/>
    <s v="Low"/>
    <s v="Bulk"/>
  </r>
  <r>
    <s v="ORD0351"/>
    <x v="18"/>
    <x v="9"/>
    <x v="3"/>
    <x v="1"/>
    <x v="5"/>
    <x v="5"/>
    <x v="1"/>
    <n v="6"/>
    <n v="40.31"/>
    <n v="241.86"/>
    <s v="Low"/>
    <s v="Bulk"/>
  </r>
  <r>
    <s v="ORD0352"/>
    <x v="5"/>
    <x v="2"/>
    <x v="0"/>
    <x v="3"/>
    <x v="1"/>
    <x v="3"/>
    <x v="1"/>
    <n v="9"/>
    <n v="22.9"/>
    <n v="206.1"/>
    <s v="Low"/>
    <s v="Bulk"/>
  </r>
  <r>
    <s v="ORD0353"/>
    <x v="13"/>
    <x v="1"/>
    <x v="1"/>
    <x v="0"/>
    <x v="0"/>
    <x v="4"/>
    <x v="1"/>
    <n v="2"/>
    <n v="290.64999999999998"/>
    <n v="581.29999999999995"/>
    <s v="Low"/>
    <s v="Normal"/>
  </r>
  <r>
    <s v="ORD0354"/>
    <x v="24"/>
    <x v="0"/>
    <x v="0"/>
    <x v="3"/>
    <x v="0"/>
    <x v="3"/>
    <x v="1"/>
    <n v="7"/>
    <n v="161.41999999999999"/>
    <n v="1129.94"/>
    <s v="High"/>
    <s v="Bulk"/>
  </r>
  <r>
    <s v="ORD0355"/>
    <x v="23"/>
    <x v="4"/>
    <x v="0"/>
    <x v="3"/>
    <x v="0"/>
    <x v="5"/>
    <x v="0"/>
    <n v="4"/>
    <n v="33.75"/>
    <n v="135"/>
    <s v="Low"/>
    <s v="Normal"/>
  </r>
  <r>
    <s v="ORD0356"/>
    <x v="2"/>
    <x v="5"/>
    <x v="2"/>
    <x v="1"/>
    <x v="1"/>
    <x v="4"/>
    <x v="0"/>
    <n v="3"/>
    <n v="5.5"/>
    <n v="16.5"/>
    <s v="Low"/>
    <s v="Normal"/>
  </r>
  <r>
    <s v="ORD0357"/>
    <x v="24"/>
    <x v="5"/>
    <x v="2"/>
    <x v="2"/>
    <x v="0"/>
    <x v="5"/>
    <x v="1"/>
    <n v="6"/>
    <n v="5.61"/>
    <n v="33.659999999999997"/>
    <s v="Low"/>
    <s v="Bulk"/>
  </r>
  <r>
    <s v="ORD0358"/>
    <x v="10"/>
    <x v="8"/>
    <x v="0"/>
    <x v="0"/>
    <x v="5"/>
    <x v="1"/>
    <x v="1"/>
    <n v="2"/>
    <n v="213.95"/>
    <n v="427.9"/>
    <s v="Low"/>
    <s v="Normal"/>
  </r>
  <r>
    <s v="ORD0359"/>
    <x v="11"/>
    <x v="4"/>
    <x v="0"/>
    <x v="1"/>
    <x v="0"/>
    <x v="5"/>
    <x v="1"/>
    <n v="1"/>
    <n v="34.72"/>
    <n v="34.72"/>
    <s v="Low"/>
    <s v="Normal"/>
  </r>
  <r>
    <s v="ORD0360"/>
    <x v="23"/>
    <x v="1"/>
    <x v="1"/>
    <x v="3"/>
    <x v="0"/>
    <x v="2"/>
    <x v="1"/>
    <n v="7"/>
    <n v="278.22000000000003"/>
    <n v="1947.54"/>
    <s v="High"/>
    <s v="Bulk"/>
  </r>
  <r>
    <s v="ORD0361"/>
    <x v="26"/>
    <x v="2"/>
    <x v="0"/>
    <x v="1"/>
    <x v="1"/>
    <x v="5"/>
    <x v="1"/>
    <n v="9"/>
    <n v="19.5"/>
    <n v="175.5"/>
    <s v="Low"/>
    <s v="Bulk"/>
  </r>
  <r>
    <s v="ORD0362"/>
    <x v="9"/>
    <x v="9"/>
    <x v="3"/>
    <x v="1"/>
    <x v="1"/>
    <x v="2"/>
    <x v="1"/>
    <n v="8"/>
    <n v="45.95"/>
    <n v="367.6"/>
    <s v="Low"/>
    <s v="Bulk"/>
  </r>
  <r>
    <s v="ORD0363"/>
    <x v="24"/>
    <x v="2"/>
    <x v="0"/>
    <x v="1"/>
    <x v="3"/>
    <x v="1"/>
    <x v="0"/>
    <n v="2"/>
    <n v="23.47"/>
    <n v="46.94"/>
    <s v="Low"/>
    <s v="Normal"/>
  </r>
  <r>
    <s v="ORD0364"/>
    <x v="17"/>
    <x v="2"/>
    <x v="0"/>
    <x v="3"/>
    <x v="5"/>
    <x v="3"/>
    <x v="0"/>
    <n v="8"/>
    <n v="21.66"/>
    <n v="173.28"/>
    <s v="Low"/>
    <s v="Bulk"/>
  </r>
  <r>
    <s v="ORD0365"/>
    <x v="19"/>
    <x v="4"/>
    <x v="0"/>
    <x v="1"/>
    <x v="0"/>
    <x v="1"/>
    <x v="0"/>
    <n v="4"/>
    <n v="33.69"/>
    <n v="134.76"/>
    <s v="Low"/>
    <s v="Normal"/>
  </r>
  <r>
    <s v="ORD0366"/>
    <x v="12"/>
    <x v="6"/>
    <x v="0"/>
    <x v="3"/>
    <x v="3"/>
    <x v="0"/>
    <x v="0"/>
    <n v="2"/>
    <n v="735.38"/>
    <n v="1470.76"/>
    <s v="High"/>
    <s v="Normal"/>
  </r>
  <r>
    <s v="ORD0367"/>
    <x v="12"/>
    <x v="9"/>
    <x v="3"/>
    <x v="3"/>
    <x v="0"/>
    <x v="5"/>
    <x v="1"/>
    <n v="9"/>
    <n v="47.02"/>
    <n v="423.18"/>
    <s v="Low"/>
    <s v="Bulk"/>
  </r>
  <r>
    <s v="ORD0368"/>
    <x v="18"/>
    <x v="5"/>
    <x v="2"/>
    <x v="3"/>
    <x v="4"/>
    <x v="4"/>
    <x v="1"/>
    <n v="3"/>
    <n v="5.46"/>
    <n v="16.38"/>
    <s v="Low"/>
    <s v="Normal"/>
  </r>
  <r>
    <s v="ORD0369"/>
    <x v="4"/>
    <x v="2"/>
    <x v="0"/>
    <x v="2"/>
    <x v="5"/>
    <x v="5"/>
    <x v="0"/>
    <n v="8"/>
    <n v="18.36"/>
    <n v="146.88"/>
    <s v="Low"/>
    <s v="Bulk"/>
  </r>
  <r>
    <s v="ORD0370"/>
    <x v="4"/>
    <x v="4"/>
    <x v="0"/>
    <x v="3"/>
    <x v="0"/>
    <x v="2"/>
    <x v="0"/>
    <n v="10"/>
    <n v="35.729999999999997"/>
    <n v="357.3"/>
    <s v="Low"/>
    <s v="Bulk"/>
  </r>
  <r>
    <s v="ORD0371"/>
    <x v="14"/>
    <x v="8"/>
    <x v="0"/>
    <x v="3"/>
    <x v="5"/>
    <x v="3"/>
    <x v="0"/>
    <n v="9"/>
    <n v="182.72"/>
    <n v="1644.48"/>
    <s v="High"/>
    <s v="Bulk"/>
  </r>
  <r>
    <s v="ORD0372"/>
    <x v="12"/>
    <x v="8"/>
    <x v="0"/>
    <x v="1"/>
    <x v="4"/>
    <x v="2"/>
    <x v="0"/>
    <n v="7"/>
    <n v="196.61"/>
    <n v="1376.27"/>
    <s v="High"/>
    <s v="Bulk"/>
  </r>
  <r>
    <s v="ORD0373"/>
    <x v="13"/>
    <x v="5"/>
    <x v="2"/>
    <x v="1"/>
    <x v="5"/>
    <x v="5"/>
    <x v="1"/>
    <n v="4"/>
    <n v="4.5599999999999996"/>
    <n v="18.239999999999998"/>
    <s v="Low"/>
    <s v="Normal"/>
  </r>
  <r>
    <s v="ORD0374"/>
    <x v="6"/>
    <x v="7"/>
    <x v="1"/>
    <x v="3"/>
    <x v="2"/>
    <x v="1"/>
    <x v="1"/>
    <n v="5"/>
    <n v="122.62"/>
    <n v="613.1"/>
    <s v="Low"/>
    <s v="Bulk"/>
  </r>
  <r>
    <s v="ORD0375"/>
    <x v="4"/>
    <x v="0"/>
    <x v="0"/>
    <x v="1"/>
    <x v="4"/>
    <x v="1"/>
    <x v="1"/>
    <n v="10"/>
    <n v="163.01"/>
    <n v="1630.1"/>
    <s v="High"/>
    <s v="Bulk"/>
  </r>
  <r>
    <s v="ORD0376"/>
    <x v="2"/>
    <x v="2"/>
    <x v="0"/>
    <x v="0"/>
    <x v="2"/>
    <x v="5"/>
    <x v="0"/>
    <n v="8"/>
    <n v="20.74"/>
    <n v="165.92"/>
    <s v="Low"/>
    <s v="Bulk"/>
  </r>
  <r>
    <s v="ORD0377"/>
    <x v="12"/>
    <x v="5"/>
    <x v="2"/>
    <x v="1"/>
    <x v="1"/>
    <x v="4"/>
    <x v="1"/>
    <n v="2"/>
    <n v="4.67"/>
    <n v="9.34"/>
    <s v="Low"/>
    <s v="Normal"/>
  </r>
  <r>
    <s v="ORD0378"/>
    <x v="13"/>
    <x v="7"/>
    <x v="1"/>
    <x v="1"/>
    <x v="5"/>
    <x v="4"/>
    <x v="1"/>
    <n v="9"/>
    <n v="119.52"/>
    <n v="1075.68"/>
    <s v="High"/>
    <s v="Bulk"/>
  </r>
  <r>
    <s v="ORD0379"/>
    <x v="21"/>
    <x v="1"/>
    <x v="1"/>
    <x v="2"/>
    <x v="0"/>
    <x v="3"/>
    <x v="1"/>
    <n v="3"/>
    <n v="290.48"/>
    <n v="871.44"/>
    <s v="Low"/>
    <s v="Normal"/>
  </r>
  <r>
    <s v="ORD0380"/>
    <x v="9"/>
    <x v="8"/>
    <x v="0"/>
    <x v="2"/>
    <x v="1"/>
    <x v="3"/>
    <x v="0"/>
    <n v="1"/>
    <n v="196.29"/>
    <n v="196.29"/>
    <s v="Low"/>
    <s v="Normal"/>
  </r>
  <r>
    <s v="ORD0381"/>
    <x v="21"/>
    <x v="9"/>
    <x v="3"/>
    <x v="3"/>
    <x v="1"/>
    <x v="1"/>
    <x v="0"/>
    <n v="2"/>
    <n v="40.47"/>
    <n v="80.94"/>
    <s v="Low"/>
    <s v="Normal"/>
  </r>
  <r>
    <s v="ORD0382"/>
    <x v="3"/>
    <x v="3"/>
    <x v="2"/>
    <x v="1"/>
    <x v="3"/>
    <x v="1"/>
    <x v="1"/>
    <n v="3"/>
    <n v="2.85"/>
    <n v="8.5500000000000007"/>
    <s v="Low"/>
    <s v="Normal"/>
  </r>
  <r>
    <s v="ORD0383"/>
    <x v="12"/>
    <x v="9"/>
    <x v="3"/>
    <x v="0"/>
    <x v="2"/>
    <x v="2"/>
    <x v="0"/>
    <n v="4"/>
    <n v="43.01"/>
    <n v="172.04"/>
    <s v="Low"/>
    <s v="Normal"/>
  </r>
  <r>
    <s v="ORD0384"/>
    <x v="26"/>
    <x v="6"/>
    <x v="0"/>
    <x v="0"/>
    <x v="2"/>
    <x v="1"/>
    <x v="0"/>
    <n v="7"/>
    <n v="698.29"/>
    <n v="4888.03"/>
    <s v="High"/>
    <s v="Bulk"/>
  </r>
  <r>
    <s v="ORD0385"/>
    <x v="1"/>
    <x v="8"/>
    <x v="0"/>
    <x v="1"/>
    <x v="2"/>
    <x v="2"/>
    <x v="1"/>
    <n v="8"/>
    <n v="187.01"/>
    <n v="1496.08"/>
    <s v="High"/>
    <s v="Bulk"/>
  </r>
  <r>
    <s v="ORD0386"/>
    <x v="10"/>
    <x v="5"/>
    <x v="2"/>
    <x v="3"/>
    <x v="0"/>
    <x v="1"/>
    <x v="1"/>
    <n v="5"/>
    <n v="5.46"/>
    <n v="27.3"/>
    <s v="Low"/>
    <s v="Bulk"/>
  </r>
  <r>
    <s v="ORD0387"/>
    <x v="12"/>
    <x v="6"/>
    <x v="0"/>
    <x v="0"/>
    <x v="5"/>
    <x v="2"/>
    <x v="1"/>
    <n v="1"/>
    <n v="676.03"/>
    <n v="676.03"/>
    <s v="Low"/>
    <s v="Normal"/>
  </r>
  <r>
    <s v="ORD0388"/>
    <x v="3"/>
    <x v="8"/>
    <x v="0"/>
    <x v="1"/>
    <x v="4"/>
    <x v="2"/>
    <x v="1"/>
    <n v="2"/>
    <n v="177.31"/>
    <n v="354.62"/>
    <s v="Low"/>
    <s v="Normal"/>
  </r>
  <r>
    <s v="ORD0389"/>
    <x v="13"/>
    <x v="3"/>
    <x v="2"/>
    <x v="0"/>
    <x v="2"/>
    <x v="1"/>
    <x v="1"/>
    <n v="3"/>
    <n v="3.18"/>
    <n v="9.5399999999999991"/>
    <s v="Low"/>
    <s v="Normal"/>
  </r>
  <r>
    <s v="ORD0390"/>
    <x v="16"/>
    <x v="8"/>
    <x v="0"/>
    <x v="0"/>
    <x v="5"/>
    <x v="2"/>
    <x v="1"/>
    <n v="1"/>
    <n v="194.04"/>
    <n v="194.04"/>
    <s v="Low"/>
    <s v="Normal"/>
  </r>
  <r>
    <s v="ORD0391"/>
    <x v="2"/>
    <x v="5"/>
    <x v="2"/>
    <x v="0"/>
    <x v="3"/>
    <x v="3"/>
    <x v="1"/>
    <n v="7"/>
    <n v="4.9000000000000004"/>
    <n v="34.299999999999997"/>
    <s v="Low"/>
    <s v="Bulk"/>
  </r>
  <r>
    <s v="ORD0392"/>
    <x v="23"/>
    <x v="1"/>
    <x v="1"/>
    <x v="2"/>
    <x v="5"/>
    <x v="4"/>
    <x v="1"/>
    <n v="9"/>
    <n v="225.47"/>
    <n v="2029.23"/>
    <s v="High"/>
    <s v="Bulk"/>
  </r>
  <r>
    <s v="ORD0393"/>
    <x v="13"/>
    <x v="3"/>
    <x v="2"/>
    <x v="1"/>
    <x v="3"/>
    <x v="5"/>
    <x v="1"/>
    <n v="8"/>
    <n v="3.41"/>
    <n v="27.28"/>
    <s v="Low"/>
    <s v="Bulk"/>
  </r>
  <r>
    <s v="ORD0394"/>
    <x v="21"/>
    <x v="5"/>
    <x v="2"/>
    <x v="3"/>
    <x v="0"/>
    <x v="3"/>
    <x v="0"/>
    <n v="7"/>
    <n v="4.58"/>
    <n v="32.06"/>
    <s v="Low"/>
    <s v="Bulk"/>
  </r>
  <r>
    <s v="ORD0395"/>
    <x v="22"/>
    <x v="4"/>
    <x v="0"/>
    <x v="3"/>
    <x v="0"/>
    <x v="3"/>
    <x v="1"/>
    <n v="1"/>
    <n v="39.340000000000003"/>
    <n v="39.340000000000003"/>
    <s v="Low"/>
    <s v="Normal"/>
  </r>
  <r>
    <s v="ORD0396"/>
    <x v="21"/>
    <x v="7"/>
    <x v="1"/>
    <x v="3"/>
    <x v="2"/>
    <x v="3"/>
    <x v="0"/>
    <n v="10"/>
    <n v="119.93"/>
    <n v="1199.3"/>
    <s v="High"/>
    <s v="Bulk"/>
  </r>
  <r>
    <s v="ORD0397"/>
    <x v="9"/>
    <x v="5"/>
    <x v="2"/>
    <x v="1"/>
    <x v="1"/>
    <x v="1"/>
    <x v="0"/>
    <n v="7"/>
    <n v="5.64"/>
    <n v="39.479999999999997"/>
    <s v="Low"/>
    <s v="Bulk"/>
  </r>
  <r>
    <s v="ORD0398"/>
    <x v="23"/>
    <x v="3"/>
    <x v="2"/>
    <x v="2"/>
    <x v="1"/>
    <x v="3"/>
    <x v="1"/>
    <n v="8"/>
    <n v="2.8"/>
    <n v="22.4"/>
    <s v="Low"/>
    <s v="Bulk"/>
  </r>
  <r>
    <s v="ORD0399"/>
    <x v="6"/>
    <x v="0"/>
    <x v="0"/>
    <x v="0"/>
    <x v="1"/>
    <x v="4"/>
    <x v="0"/>
    <n v="9"/>
    <n v="164.95"/>
    <n v="1484.55"/>
    <s v="High"/>
    <s v="Bulk"/>
  </r>
  <r>
    <s v="ORD0400"/>
    <x v="1"/>
    <x v="3"/>
    <x v="2"/>
    <x v="2"/>
    <x v="2"/>
    <x v="4"/>
    <x v="1"/>
    <n v="3"/>
    <n v="3.13"/>
    <n v="9.39"/>
    <s v="Low"/>
    <s v="Normal"/>
  </r>
  <r>
    <s v="ORD0401"/>
    <x v="15"/>
    <x v="2"/>
    <x v="0"/>
    <x v="3"/>
    <x v="3"/>
    <x v="1"/>
    <x v="1"/>
    <n v="1"/>
    <n v="20.43"/>
    <n v="20.43"/>
    <s v="Low"/>
    <s v="Normal"/>
  </r>
  <r>
    <s v="ORD0402"/>
    <x v="13"/>
    <x v="0"/>
    <x v="0"/>
    <x v="1"/>
    <x v="4"/>
    <x v="4"/>
    <x v="0"/>
    <n v="2"/>
    <n v="179.13"/>
    <n v="358.26"/>
    <s v="Low"/>
    <s v="Normal"/>
  </r>
  <r>
    <s v="ORD0403"/>
    <x v="23"/>
    <x v="9"/>
    <x v="3"/>
    <x v="1"/>
    <x v="1"/>
    <x v="4"/>
    <x v="1"/>
    <n v="1"/>
    <n v="38.51"/>
    <n v="38.51"/>
    <s v="Low"/>
    <s v="Normal"/>
  </r>
  <r>
    <s v="ORD0404"/>
    <x v="5"/>
    <x v="3"/>
    <x v="2"/>
    <x v="1"/>
    <x v="1"/>
    <x v="1"/>
    <x v="0"/>
    <n v="10"/>
    <n v="3.33"/>
    <n v="33.299999999999997"/>
    <s v="Low"/>
    <s v="Bulk"/>
  </r>
  <r>
    <s v="ORD0405"/>
    <x v="18"/>
    <x v="4"/>
    <x v="0"/>
    <x v="3"/>
    <x v="5"/>
    <x v="3"/>
    <x v="0"/>
    <n v="3"/>
    <n v="39.049999999999997"/>
    <n v="117.15"/>
    <s v="Low"/>
    <s v="Normal"/>
  </r>
  <r>
    <s v="ORD0406"/>
    <x v="1"/>
    <x v="8"/>
    <x v="0"/>
    <x v="2"/>
    <x v="2"/>
    <x v="4"/>
    <x v="1"/>
    <n v="7"/>
    <n v="195.33"/>
    <n v="1367.31"/>
    <s v="High"/>
    <s v="Bulk"/>
  </r>
  <r>
    <s v="ORD0407"/>
    <x v="2"/>
    <x v="2"/>
    <x v="0"/>
    <x v="0"/>
    <x v="2"/>
    <x v="0"/>
    <x v="1"/>
    <n v="10"/>
    <n v="23.39"/>
    <n v="233.9"/>
    <s v="Low"/>
    <s v="Bulk"/>
  </r>
  <r>
    <s v="ORD0408"/>
    <x v="16"/>
    <x v="7"/>
    <x v="1"/>
    <x v="0"/>
    <x v="0"/>
    <x v="5"/>
    <x v="0"/>
    <n v="5"/>
    <n v="138.97"/>
    <n v="694.85"/>
    <s v="Low"/>
    <s v="Bulk"/>
  </r>
  <r>
    <s v="ORD0409"/>
    <x v="12"/>
    <x v="3"/>
    <x v="2"/>
    <x v="1"/>
    <x v="4"/>
    <x v="5"/>
    <x v="1"/>
    <n v="3"/>
    <n v="2.72"/>
    <n v="8.16"/>
    <s v="Low"/>
    <s v="Normal"/>
  </r>
  <r>
    <s v="ORD0410"/>
    <x v="0"/>
    <x v="4"/>
    <x v="0"/>
    <x v="1"/>
    <x v="0"/>
    <x v="5"/>
    <x v="1"/>
    <n v="10"/>
    <n v="39.49"/>
    <n v="394.9"/>
    <s v="Low"/>
    <s v="Bulk"/>
  </r>
  <r>
    <s v="ORD0411"/>
    <x v="2"/>
    <x v="7"/>
    <x v="1"/>
    <x v="2"/>
    <x v="2"/>
    <x v="1"/>
    <x v="0"/>
    <n v="1"/>
    <n v="133.16999999999999"/>
    <n v="133.16999999999999"/>
    <s v="Low"/>
    <s v="Normal"/>
  </r>
  <r>
    <s v="ORD0412"/>
    <x v="11"/>
    <x v="9"/>
    <x v="3"/>
    <x v="2"/>
    <x v="0"/>
    <x v="0"/>
    <x v="0"/>
    <n v="4"/>
    <n v="42.91"/>
    <n v="171.64"/>
    <s v="Low"/>
    <s v="Normal"/>
  </r>
  <r>
    <s v="ORD0413"/>
    <x v="19"/>
    <x v="9"/>
    <x v="3"/>
    <x v="2"/>
    <x v="4"/>
    <x v="4"/>
    <x v="1"/>
    <n v="7"/>
    <n v="47.27"/>
    <n v="330.89"/>
    <s v="Low"/>
    <s v="Bulk"/>
  </r>
  <r>
    <s v="ORD0414"/>
    <x v="27"/>
    <x v="2"/>
    <x v="0"/>
    <x v="3"/>
    <x v="0"/>
    <x v="2"/>
    <x v="1"/>
    <n v="8"/>
    <n v="22.83"/>
    <n v="182.64"/>
    <s v="Low"/>
    <s v="Bulk"/>
  </r>
  <r>
    <s v="ORD0415"/>
    <x v="22"/>
    <x v="0"/>
    <x v="0"/>
    <x v="1"/>
    <x v="4"/>
    <x v="2"/>
    <x v="1"/>
    <n v="1"/>
    <n v="162.32"/>
    <n v="162.32"/>
    <s v="Low"/>
    <s v="Normal"/>
  </r>
  <r>
    <s v="ORD0416"/>
    <x v="2"/>
    <x v="2"/>
    <x v="0"/>
    <x v="0"/>
    <x v="5"/>
    <x v="2"/>
    <x v="1"/>
    <n v="5"/>
    <n v="20.52"/>
    <n v="102.6"/>
    <s v="Low"/>
    <s v="Bulk"/>
  </r>
  <r>
    <s v="ORD0417"/>
    <x v="5"/>
    <x v="8"/>
    <x v="0"/>
    <x v="1"/>
    <x v="3"/>
    <x v="2"/>
    <x v="0"/>
    <n v="2"/>
    <n v="191.24"/>
    <n v="382.48"/>
    <s v="Low"/>
    <s v="Normal"/>
  </r>
  <r>
    <s v="ORD0418"/>
    <x v="18"/>
    <x v="0"/>
    <x v="0"/>
    <x v="0"/>
    <x v="0"/>
    <x v="3"/>
    <x v="0"/>
    <n v="1"/>
    <n v="172.62"/>
    <n v="172.62"/>
    <s v="Low"/>
    <s v="Normal"/>
  </r>
  <r>
    <s v="ORD0419"/>
    <x v="5"/>
    <x v="2"/>
    <x v="0"/>
    <x v="0"/>
    <x v="0"/>
    <x v="4"/>
    <x v="1"/>
    <n v="5"/>
    <n v="22.44"/>
    <n v="112.2"/>
    <s v="Low"/>
    <s v="Bulk"/>
  </r>
  <r>
    <s v="ORD0420"/>
    <x v="7"/>
    <x v="5"/>
    <x v="2"/>
    <x v="1"/>
    <x v="0"/>
    <x v="5"/>
    <x v="0"/>
    <n v="3"/>
    <n v="5.82"/>
    <n v="17.46"/>
    <s v="Low"/>
    <s v="Normal"/>
  </r>
  <r>
    <s v="ORD0421"/>
    <x v="14"/>
    <x v="0"/>
    <x v="0"/>
    <x v="1"/>
    <x v="4"/>
    <x v="5"/>
    <x v="0"/>
    <n v="3"/>
    <n v="173.63"/>
    <n v="520.89"/>
    <s v="Low"/>
    <s v="Normal"/>
  </r>
  <r>
    <s v="ORD0422"/>
    <x v="22"/>
    <x v="1"/>
    <x v="1"/>
    <x v="3"/>
    <x v="2"/>
    <x v="0"/>
    <x v="1"/>
    <n v="10"/>
    <n v="285.64999999999998"/>
    <n v="2856.5"/>
    <s v="High"/>
    <s v="Bulk"/>
  </r>
  <r>
    <s v="ORD0423"/>
    <x v="19"/>
    <x v="0"/>
    <x v="0"/>
    <x v="0"/>
    <x v="5"/>
    <x v="0"/>
    <x v="0"/>
    <n v="8"/>
    <n v="135.28"/>
    <n v="1082.24"/>
    <s v="High"/>
    <s v="Bulk"/>
  </r>
  <r>
    <s v="ORD0424"/>
    <x v="21"/>
    <x v="1"/>
    <x v="1"/>
    <x v="2"/>
    <x v="2"/>
    <x v="4"/>
    <x v="1"/>
    <n v="6"/>
    <n v="230.68"/>
    <n v="1384.08"/>
    <s v="High"/>
    <s v="Bulk"/>
  </r>
  <r>
    <s v="ORD0425"/>
    <x v="4"/>
    <x v="3"/>
    <x v="2"/>
    <x v="0"/>
    <x v="1"/>
    <x v="0"/>
    <x v="1"/>
    <n v="2"/>
    <n v="3.28"/>
    <n v="6.56"/>
    <s v="Low"/>
    <s v="Normal"/>
  </r>
  <r>
    <s v="ORD0426"/>
    <x v="9"/>
    <x v="3"/>
    <x v="2"/>
    <x v="3"/>
    <x v="0"/>
    <x v="2"/>
    <x v="1"/>
    <n v="1"/>
    <n v="2.82"/>
    <n v="2.82"/>
    <s v="Low"/>
    <s v="Normal"/>
  </r>
  <r>
    <s v="ORD0427"/>
    <x v="20"/>
    <x v="8"/>
    <x v="0"/>
    <x v="0"/>
    <x v="2"/>
    <x v="0"/>
    <x v="1"/>
    <n v="7"/>
    <n v="182.6"/>
    <n v="1278.2"/>
    <s v="High"/>
    <s v="Bulk"/>
  </r>
  <r>
    <s v="ORD0428"/>
    <x v="11"/>
    <x v="8"/>
    <x v="0"/>
    <x v="1"/>
    <x v="2"/>
    <x v="5"/>
    <x v="0"/>
    <n v="2"/>
    <n v="203.42"/>
    <n v="406.84"/>
    <s v="Low"/>
    <s v="Normal"/>
  </r>
  <r>
    <s v="ORD0429"/>
    <x v="4"/>
    <x v="8"/>
    <x v="0"/>
    <x v="0"/>
    <x v="4"/>
    <x v="3"/>
    <x v="1"/>
    <n v="2"/>
    <n v="166.66"/>
    <n v="333.32"/>
    <s v="Low"/>
    <s v="Normal"/>
  </r>
  <r>
    <s v="ORD0430"/>
    <x v="9"/>
    <x v="9"/>
    <x v="3"/>
    <x v="2"/>
    <x v="2"/>
    <x v="2"/>
    <x v="0"/>
    <n v="3"/>
    <n v="39.4"/>
    <n v="118.2"/>
    <s v="Low"/>
    <s v="Normal"/>
  </r>
  <r>
    <s v="ORD0431"/>
    <x v="17"/>
    <x v="1"/>
    <x v="1"/>
    <x v="1"/>
    <x v="3"/>
    <x v="4"/>
    <x v="1"/>
    <n v="10"/>
    <n v="243.36"/>
    <n v="2433.6"/>
    <s v="High"/>
    <s v="Bulk"/>
  </r>
  <r>
    <s v="ORD0432"/>
    <x v="8"/>
    <x v="6"/>
    <x v="0"/>
    <x v="0"/>
    <x v="1"/>
    <x v="0"/>
    <x v="1"/>
    <n v="7"/>
    <n v="692.66"/>
    <n v="4848.62"/>
    <s v="High"/>
    <s v="Bulk"/>
  </r>
  <r>
    <s v="ORD0433"/>
    <x v="21"/>
    <x v="6"/>
    <x v="0"/>
    <x v="3"/>
    <x v="4"/>
    <x v="5"/>
    <x v="0"/>
    <n v="8"/>
    <n v="630.54"/>
    <n v="5044.32"/>
    <s v="High"/>
    <s v="Bulk"/>
  </r>
  <r>
    <s v="ORD0434"/>
    <x v="13"/>
    <x v="7"/>
    <x v="1"/>
    <x v="2"/>
    <x v="0"/>
    <x v="1"/>
    <x v="1"/>
    <n v="10"/>
    <n v="134.06"/>
    <n v="1340.6"/>
    <s v="High"/>
    <s v="Bulk"/>
  </r>
  <r>
    <s v="ORD0435"/>
    <x v="5"/>
    <x v="8"/>
    <x v="0"/>
    <x v="0"/>
    <x v="1"/>
    <x v="1"/>
    <x v="1"/>
    <n v="7"/>
    <n v="166.86"/>
    <n v="1168.02"/>
    <s v="High"/>
    <s v="Bulk"/>
  </r>
  <r>
    <s v="ORD0436"/>
    <x v="4"/>
    <x v="7"/>
    <x v="1"/>
    <x v="2"/>
    <x v="0"/>
    <x v="1"/>
    <x v="1"/>
    <n v="6"/>
    <n v="119.85"/>
    <n v="719.1"/>
    <s v="Low"/>
    <s v="Bulk"/>
  </r>
  <r>
    <s v="ORD0437"/>
    <x v="19"/>
    <x v="9"/>
    <x v="3"/>
    <x v="2"/>
    <x v="3"/>
    <x v="1"/>
    <x v="0"/>
    <n v="1"/>
    <n v="44.04"/>
    <n v="44.04"/>
    <s v="Low"/>
    <s v="Normal"/>
  </r>
  <r>
    <s v="ORD0438"/>
    <x v="2"/>
    <x v="6"/>
    <x v="0"/>
    <x v="0"/>
    <x v="1"/>
    <x v="4"/>
    <x v="1"/>
    <n v="4"/>
    <n v="724.99"/>
    <n v="2899.96"/>
    <s v="High"/>
    <s v="Normal"/>
  </r>
  <r>
    <s v="ORD0439"/>
    <x v="21"/>
    <x v="5"/>
    <x v="2"/>
    <x v="3"/>
    <x v="0"/>
    <x v="2"/>
    <x v="1"/>
    <n v="2"/>
    <n v="5.47"/>
    <n v="10.94"/>
    <s v="Low"/>
    <s v="Normal"/>
  </r>
  <r>
    <s v="ORD0440"/>
    <x v="21"/>
    <x v="7"/>
    <x v="1"/>
    <x v="1"/>
    <x v="4"/>
    <x v="4"/>
    <x v="1"/>
    <n v="10"/>
    <n v="141.55000000000001"/>
    <n v="1415.5"/>
    <s v="High"/>
    <s v="Bulk"/>
  </r>
  <r>
    <s v="ORD0441"/>
    <x v="6"/>
    <x v="2"/>
    <x v="0"/>
    <x v="3"/>
    <x v="1"/>
    <x v="3"/>
    <x v="1"/>
    <n v="4"/>
    <n v="23.38"/>
    <n v="93.52"/>
    <s v="Low"/>
    <s v="Normal"/>
  </r>
  <r>
    <s v="ORD0442"/>
    <x v="5"/>
    <x v="4"/>
    <x v="0"/>
    <x v="3"/>
    <x v="4"/>
    <x v="5"/>
    <x v="1"/>
    <n v="2"/>
    <n v="33.74"/>
    <n v="67.48"/>
    <s v="Low"/>
    <s v="Normal"/>
  </r>
  <r>
    <s v="ORD0443"/>
    <x v="10"/>
    <x v="0"/>
    <x v="0"/>
    <x v="2"/>
    <x v="3"/>
    <x v="2"/>
    <x v="0"/>
    <n v="3"/>
    <n v="164.56"/>
    <n v="493.68"/>
    <s v="Low"/>
    <s v="Normal"/>
  </r>
  <r>
    <s v="ORD0444"/>
    <x v="11"/>
    <x v="4"/>
    <x v="0"/>
    <x v="3"/>
    <x v="1"/>
    <x v="1"/>
    <x v="0"/>
    <n v="5"/>
    <n v="38.380000000000003"/>
    <n v="191.9"/>
    <s v="Low"/>
    <s v="Bulk"/>
  </r>
  <r>
    <s v="ORD0445"/>
    <x v="3"/>
    <x v="1"/>
    <x v="1"/>
    <x v="0"/>
    <x v="3"/>
    <x v="2"/>
    <x v="1"/>
    <n v="3"/>
    <n v="225.52"/>
    <n v="676.56"/>
    <s v="Low"/>
    <s v="Normal"/>
  </r>
  <r>
    <s v="ORD0446"/>
    <x v="26"/>
    <x v="5"/>
    <x v="2"/>
    <x v="1"/>
    <x v="2"/>
    <x v="5"/>
    <x v="0"/>
    <n v="8"/>
    <n v="5.94"/>
    <n v="47.52"/>
    <s v="Low"/>
    <s v="Bulk"/>
  </r>
  <r>
    <s v="ORD0447"/>
    <x v="19"/>
    <x v="4"/>
    <x v="0"/>
    <x v="1"/>
    <x v="4"/>
    <x v="1"/>
    <x v="1"/>
    <n v="5"/>
    <n v="34.49"/>
    <n v="172.45"/>
    <s v="Low"/>
    <s v="Bulk"/>
  </r>
  <r>
    <s v="ORD0448"/>
    <x v="19"/>
    <x v="9"/>
    <x v="3"/>
    <x v="0"/>
    <x v="0"/>
    <x v="4"/>
    <x v="1"/>
    <n v="5"/>
    <n v="47.23"/>
    <n v="236.15"/>
    <s v="Low"/>
    <s v="Bulk"/>
  </r>
  <r>
    <s v="ORD0449"/>
    <x v="26"/>
    <x v="3"/>
    <x v="2"/>
    <x v="2"/>
    <x v="1"/>
    <x v="0"/>
    <x v="1"/>
    <n v="4"/>
    <n v="3"/>
    <n v="12"/>
    <s v="Low"/>
    <s v="Normal"/>
  </r>
  <r>
    <s v="ORD0450"/>
    <x v="0"/>
    <x v="1"/>
    <x v="1"/>
    <x v="3"/>
    <x v="1"/>
    <x v="2"/>
    <x v="1"/>
    <n v="2"/>
    <n v="255.01"/>
    <n v="510.02"/>
    <s v="Low"/>
    <s v="Normal"/>
  </r>
  <r>
    <s v="ORD0451"/>
    <x v="19"/>
    <x v="3"/>
    <x v="2"/>
    <x v="1"/>
    <x v="2"/>
    <x v="4"/>
    <x v="0"/>
    <n v="2"/>
    <n v="3.21"/>
    <n v="6.42"/>
    <s v="Low"/>
    <s v="Normal"/>
  </r>
  <r>
    <s v="ORD0452"/>
    <x v="12"/>
    <x v="5"/>
    <x v="2"/>
    <x v="3"/>
    <x v="3"/>
    <x v="3"/>
    <x v="0"/>
    <n v="3"/>
    <n v="5.6"/>
    <n v="16.8"/>
    <s v="Low"/>
    <s v="Normal"/>
  </r>
  <r>
    <s v="ORD0453"/>
    <x v="13"/>
    <x v="3"/>
    <x v="2"/>
    <x v="1"/>
    <x v="5"/>
    <x v="1"/>
    <x v="0"/>
    <n v="7"/>
    <n v="3.59"/>
    <n v="25.13"/>
    <s v="Low"/>
    <s v="Bulk"/>
  </r>
  <r>
    <s v="ORD0454"/>
    <x v="7"/>
    <x v="6"/>
    <x v="0"/>
    <x v="2"/>
    <x v="1"/>
    <x v="4"/>
    <x v="1"/>
    <n v="5"/>
    <n v="825.55"/>
    <n v="4127.75"/>
    <s v="High"/>
    <s v="Bulk"/>
  </r>
  <r>
    <s v="ORD0455"/>
    <x v="18"/>
    <x v="4"/>
    <x v="0"/>
    <x v="1"/>
    <x v="4"/>
    <x v="3"/>
    <x v="0"/>
    <n v="1"/>
    <n v="37.840000000000003"/>
    <n v="37.840000000000003"/>
    <s v="Low"/>
    <s v="Normal"/>
  </r>
  <r>
    <s v="ORD0456"/>
    <x v="7"/>
    <x v="4"/>
    <x v="0"/>
    <x v="2"/>
    <x v="2"/>
    <x v="4"/>
    <x v="1"/>
    <n v="8"/>
    <n v="34.33"/>
    <n v="274.64"/>
    <s v="Low"/>
    <s v="Bulk"/>
  </r>
  <r>
    <s v="ORD0457"/>
    <x v="9"/>
    <x v="0"/>
    <x v="0"/>
    <x v="0"/>
    <x v="2"/>
    <x v="4"/>
    <x v="0"/>
    <n v="3"/>
    <n v="172.94"/>
    <n v="518.82000000000005"/>
    <s v="Low"/>
    <s v="Normal"/>
  </r>
  <r>
    <s v="ORD0458"/>
    <x v="17"/>
    <x v="5"/>
    <x v="2"/>
    <x v="2"/>
    <x v="1"/>
    <x v="4"/>
    <x v="1"/>
    <n v="8"/>
    <n v="5.35"/>
    <n v="42.8"/>
    <s v="Low"/>
    <s v="Bulk"/>
  </r>
  <r>
    <s v="ORD0459"/>
    <x v="19"/>
    <x v="0"/>
    <x v="0"/>
    <x v="3"/>
    <x v="0"/>
    <x v="3"/>
    <x v="0"/>
    <n v="3"/>
    <n v="149.13999999999999"/>
    <n v="447.42"/>
    <s v="Low"/>
    <s v="Normal"/>
  </r>
  <r>
    <s v="ORD0460"/>
    <x v="21"/>
    <x v="2"/>
    <x v="0"/>
    <x v="1"/>
    <x v="2"/>
    <x v="3"/>
    <x v="0"/>
    <n v="5"/>
    <n v="23.5"/>
    <n v="117.5"/>
    <s v="Low"/>
    <s v="Bulk"/>
  </r>
  <r>
    <s v="ORD0461"/>
    <x v="16"/>
    <x v="8"/>
    <x v="0"/>
    <x v="2"/>
    <x v="0"/>
    <x v="4"/>
    <x v="0"/>
    <n v="3"/>
    <n v="193.85"/>
    <n v="581.54999999999995"/>
    <s v="Low"/>
    <s v="Normal"/>
  </r>
  <r>
    <s v="ORD0462"/>
    <x v="12"/>
    <x v="0"/>
    <x v="0"/>
    <x v="0"/>
    <x v="0"/>
    <x v="3"/>
    <x v="1"/>
    <n v="1"/>
    <n v="154.41999999999999"/>
    <n v="154.41999999999999"/>
    <s v="Low"/>
    <s v="Normal"/>
  </r>
  <r>
    <s v="ORD0463"/>
    <x v="1"/>
    <x v="3"/>
    <x v="2"/>
    <x v="3"/>
    <x v="2"/>
    <x v="5"/>
    <x v="0"/>
    <n v="4"/>
    <n v="3.43"/>
    <n v="13.72"/>
    <s v="Low"/>
    <s v="Normal"/>
  </r>
  <r>
    <s v="ORD0464"/>
    <x v="23"/>
    <x v="8"/>
    <x v="0"/>
    <x v="3"/>
    <x v="1"/>
    <x v="3"/>
    <x v="1"/>
    <n v="2"/>
    <n v="183.33"/>
    <n v="366.66"/>
    <s v="Low"/>
    <s v="Normal"/>
  </r>
  <r>
    <s v="ORD0465"/>
    <x v="0"/>
    <x v="9"/>
    <x v="3"/>
    <x v="1"/>
    <x v="4"/>
    <x v="5"/>
    <x v="1"/>
    <n v="9"/>
    <n v="36.26"/>
    <n v="326.33999999999997"/>
    <s v="Low"/>
    <s v="Bulk"/>
  </r>
  <r>
    <s v="ORD0466"/>
    <x v="11"/>
    <x v="4"/>
    <x v="0"/>
    <x v="1"/>
    <x v="5"/>
    <x v="4"/>
    <x v="0"/>
    <n v="7"/>
    <n v="35.86"/>
    <n v="251.02"/>
    <s v="Low"/>
    <s v="Bulk"/>
  </r>
  <r>
    <s v="ORD0467"/>
    <x v="19"/>
    <x v="4"/>
    <x v="0"/>
    <x v="2"/>
    <x v="0"/>
    <x v="3"/>
    <x v="1"/>
    <n v="1"/>
    <n v="35.159999999999997"/>
    <n v="35.159999999999997"/>
    <s v="Low"/>
    <s v="Normal"/>
  </r>
  <r>
    <s v="ORD0468"/>
    <x v="19"/>
    <x v="9"/>
    <x v="3"/>
    <x v="0"/>
    <x v="3"/>
    <x v="2"/>
    <x v="0"/>
    <n v="9"/>
    <n v="36.28"/>
    <n v="326.52"/>
    <s v="Low"/>
    <s v="Bulk"/>
  </r>
  <r>
    <s v="ORD0469"/>
    <x v="0"/>
    <x v="9"/>
    <x v="3"/>
    <x v="0"/>
    <x v="2"/>
    <x v="5"/>
    <x v="1"/>
    <n v="1"/>
    <n v="41.23"/>
    <n v="41.23"/>
    <s v="Low"/>
    <s v="Normal"/>
  </r>
  <r>
    <s v="ORD0470"/>
    <x v="18"/>
    <x v="6"/>
    <x v="0"/>
    <x v="3"/>
    <x v="1"/>
    <x v="5"/>
    <x v="0"/>
    <n v="3"/>
    <n v="825.18"/>
    <n v="2475.54"/>
    <s v="High"/>
    <s v="Normal"/>
  </r>
  <r>
    <s v="ORD0471"/>
    <x v="21"/>
    <x v="4"/>
    <x v="0"/>
    <x v="2"/>
    <x v="5"/>
    <x v="2"/>
    <x v="0"/>
    <n v="5"/>
    <n v="38.159999999999997"/>
    <n v="190.8"/>
    <s v="Low"/>
    <s v="Bulk"/>
  </r>
  <r>
    <s v="ORD0472"/>
    <x v="15"/>
    <x v="3"/>
    <x v="2"/>
    <x v="0"/>
    <x v="5"/>
    <x v="4"/>
    <x v="1"/>
    <n v="8"/>
    <n v="3.18"/>
    <n v="25.44"/>
    <s v="Low"/>
    <s v="Bulk"/>
  </r>
  <r>
    <s v="ORD0473"/>
    <x v="4"/>
    <x v="4"/>
    <x v="0"/>
    <x v="1"/>
    <x v="1"/>
    <x v="3"/>
    <x v="1"/>
    <n v="5"/>
    <n v="32.14"/>
    <n v="160.69999999999999"/>
    <s v="Low"/>
    <s v="Bulk"/>
  </r>
  <r>
    <s v="ORD0474"/>
    <x v="11"/>
    <x v="6"/>
    <x v="0"/>
    <x v="1"/>
    <x v="5"/>
    <x v="3"/>
    <x v="1"/>
    <n v="5"/>
    <n v="664.42"/>
    <n v="3322.1"/>
    <s v="High"/>
    <s v="Bulk"/>
  </r>
  <r>
    <s v="ORD0475"/>
    <x v="19"/>
    <x v="1"/>
    <x v="1"/>
    <x v="0"/>
    <x v="0"/>
    <x v="2"/>
    <x v="1"/>
    <n v="8"/>
    <n v="234.41"/>
    <n v="1875.28"/>
    <s v="High"/>
    <s v="Bulk"/>
  </r>
  <r>
    <s v="ORD0476"/>
    <x v="0"/>
    <x v="7"/>
    <x v="1"/>
    <x v="1"/>
    <x v="3"/>
    <x v="0"/>
    <x v="0"/>
    <n v="6"/>
    <n v="132.88"/>
    <n v="797.28"/>
    <s v="Low"/>
    <s v="Bulk"/>
  </r>
  <r>
    <s v="ORD0477"/>
    <x v="17"/>
    <x v="1"/>
    <x v="1"/>
    <x v="1"/>
    <x v="1"/>
    <x v="3"/>
    <x v="1"/>
    <n v="4"/>
    <n v="245.34"/>
    <n v="981.36"/>
    <s v="Low"/>
    <s v="Normal"/>
  </r>
  <r>
    <s v="ORD0478"/>
    <x v="24"/>
    <x v="6"/>
    <x v="0"/>
    <x v="1"/>
    <x v="0"/>
    <x v="4"/>
    <x v="1"/>
    <n v="5"/>
    <n v="724.37"/>
    <n v="3621.85"/>
    <s v="High"/>
    <s v="Bulk"/>
  </r>
  <r>
    <s v="ORD0479"/>
    <x v="1"/>
    <x v="9"/>
    <x v="3"/>
    <x v="1"/>
    <x v="4"/>
    <x v="4"/>
    <x v="1"/>
    <n v="1"/>
    <n v="36.21"/>
    <n v="36.21"/>
    <s v="Low"/>
    <s v="Normal"/>
  </r>
  <r>
    <s v="ORD0480"/>
    <x v="18"/>
    <x v="5"/>
    <x v="2"/>
    <x v="0"/>
    <x v="5"/>
    <x v="5"/>
    <x v="1"/>
    <n v="3"/>
    <n v="4.71"/>
    <n v="14.13"/>
    <s v="Low"/>
    <s v="Normal"/>
  </r>
  <r>
    <s v="ORD0481"/>
    <x v="9"/>
    <x v="8"/>
    <x v="0"/>
    <x v="3"/>
    <x v="3"/>
    <x v="2"/>
    <x v="1"/>
    <n v="9"/>
    <n v="209.79"/>
    <n v="1888.11"/>
    <s v="High"/>
    <s v="Bulk"/>
  </r>
  <r>
    <s v="ORD0482"/>
    <x v="15"/>
    <x v="2"/>
    <x v="0"/>
    <x v="2"/>
    <x v="5"/>
    <x v="3"/>
    <x v="1"/>
    <n v="1"/>
    <n v="21.78"/>
    <n v="21.78"/>
    <s v="Low"/>
    <s v="Normal"/>
  </r>
  <r>
    <s v="ORD0483"/>
    <x v="14"/>
    <x v="4"/>
    <x v="0"/>
    <x v="0"/>
    <x v="3"/>
    <x v="2"/>
    <x v="0"/>
    <n v="5"/>
    <n v="41.78"/>
    <n v="208.9"/>
    <s v="Low"/>
    <s v="Bulk"/>
  </r>
  <r>
    <s v="ORD0484"/>
    <x v="11"/>
    <x v="8"/>
    <x v="0"/>
    <x v="1"/>
    <x v="0"/>
    <x v="1"/>
    <x v="0"/>
    <n v="4"/>
    <n v="212.74"/>
    <n v="850.96"/>
    <s v="Low"/>
    <s v="Normal"/>
  </r>
  <r>
    <s v="ORD0485"/>
    <x v="21"/>
    <x v="7"/>
    <x v="1"/>
    <x v="3"/>
    <x v="5"/>
    <x v="3"/>
    <x v="0"/>
    <n v="9"/>
    <n v="109.71"/>
    <n v="987.39"/>
    <s v="Low"/>
    <s v="Bulk"/>
  </r>
  <r>
    <s v="ORD0486"/>
    <x v="3"/>
    <x v="6"/>
    <x v="0"/>
    <x v="2"/>
    <x v="3"/>
    <x v="4"/>
    <x v="0"/>
    <n v="8"/>
    <n v="681.21"/>
    <n v="5449.68"/>
    <s v="High"/>
    <s v="Bulk"/>
  </r>
  <r>
    <s v="ORD0487"/>
    <x v="0"/>
    <x v="0"/>
    <x v="0"/>
    <x v="0"/>
    <x v="5"/>
    <x v="4"/>
    <x v="0"/>
    <n v="2"/>
    <n v="139.13"/>
    <n v="278.26"/>
    <s v="Low"/>
    <s v="Normal"/>
  </r>
  <r>
    <s v="ORD0488"/>
    <x v="10"/>
    <x v="6"/>
    <x v="0"/>
    <x v="0"/>
    <x v="1"/>
    <x v="4"/>
    <x v="0"/>
    <n v="5"/>
    <n v="787.84"/>
    <n v="3939.2"/>
    <s v="High"/>
    <s v="Bulk"/>
  </r>
  <r>
    <s v="ORD0489"/>
    <x v="25"/>
    <x v="4"/>
    <x v="0"/>
    <x v="2"/>
    <x v="3"/>
    <x v="2"/>
    <x v="1"/>
    <n v="9"/>
    <n v="34.380000000000003"/>
    <n v="309.42"/>
    <s v="Low"/>
    <s v="Bulk"/>
  </r>
  <r>
    <s v="ORD0490"/>
    <x v="3"/>
    <x v="9"/>
    <x v="3"/>
    <x v="2"/>
    <x v="5"/>
    <x v="5"/>
    <x v="0"/>
    <n v="7"/>
    <n v="45.03"/>
    <n v="315.20999999999998"/>
    <s v="Low"/>
    <s v="Bulk"/>
  </r>
  <r>
    <s v="ORD0491"/>
    <x v="26"/>
    <x v="7"/>
    <x v="1"/>
    <x v="1"/>
    <x v="5"/>
    <x v="0"/>
    <x v="0"/>
    <n v="4"/>
    <n v="115.29"/>
    <n v="461.16"/>
    <s v="Low"/>
    <s v="Normal"/>
  </r>
  <r>
    <s v="ORD0492"/>
    <x v="22"/>
    <x v="7"/>
    <x v="1"/>
    <x v="3"/>
    <x v="1"/>
    <x v="4"/>
    <x v="1"/>
    <n v="9"/>
    <n v="140.5"/>
    <n v="1264.5"/>
    <s v="High"/>
    <s v="Bulk"/>
  </r>
  <r>
    <s v="ORD0493"/>
    <x v="2"/>
    <x v="5"/>
    <x v="2"/>
    <x v="0"/>
    <x v="0"/>
    <x v="1"/>
    <x v="1"/>
    <n v="6"/>
    <n v="4.55"/>
    <n v="27.3"/>
    <s v="Low"/>
    <s v="Bulk"/>
  </r>
  <r>
    <s v="ORD0494"/>
    <x v="19"/>
    <x v="3"/>
    <x v="2"/>
    <x v="0"/>
    <x v="4"/>
    <x v="1"/>
    <x v="0"/>
    <n v="2"/>
    <n v="3.06"/>
    <n v="6.12"/>
    <s v="Low"/>
    <s v="Normal"/>
  </r>
  <r>
    <s v="ORD0495"/>
    <x v="10"/>
    <x v="4"/>
    <x v="0"/>
    <x v="3"/>
    <x v="3"/>
    <x v="3"/>
    <x v="1"/>
    <n v="10"/>
    <n v="35.130000000000003"/>
    <n v="351.3"/>
    <s v="Low"/>
    <s v="Bulk"/>
  </r>
  <r>
    <s v="ORD0496"/>
    <x v="16"/>
    <x v="6"/>
    <x v="0"/>
    <x v="2"/>
    <x v="5"/>
    <x v="0"/>
    <x v="1"/>
    <n v="8"/>
    <n v="823.18"/>
    <n v="6585.44"/>
    <s v="High"/>
    <s v="Bulk"/>
  </r>
  <r>
    <s v="ORD0497"/>
    <x v="16"/>
    <x v="4"/>
    <x v="0"/>
    <x v="2"/>
    <x v="5"/>
    <x v="5"/>
    <x v="1"/>
    <n v="9"/>
    <n v="35.340000000000003"/>
    <n v="318.06"/>
    <s v="Low"/>
    <s v="Bulk"/>
  </r>
  <r>
    <s v="ORD0498"/>
    <x v="12"/>
    <x v="4"/>
    <x v="0"/>
    <x v="2"/>
    <x v="0"/>
    <x v="1"/>
    <x v="1"/>
    <n v="2"/>
    <n v="34.58"/>
    <n v="69.16"/>
    <s v="Low"/>
    <s v="Normal"/>
  </r>
  <r>
    <s v="ORD0499"/>
    <x v="4"/>
    <x v="9"/>
    <x v="3"/>
    <x v="0"/>
    <x v="5"/>
    <x v="0"/>
    <x v="0"/>
    <n v="5"/>
    <n v="42.23"/>
    <n v="211.15"/>
    <s v="Low"/>
    <s v="Bulk"/>
  </r>
  <r>
    <s v="ORD0500"/>
    <x v="18"/>
    <x v="9"/>
    <x v="3"/>
    <x v="0"/>
    <x v="2"/>
    <x v="4"/>
    <x v="1"/>
    <n v="5"/>
    <n v="46.73"/>
    <n v="233.65"/>
    <s v="Low"/>
    <s v="Bul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7:K14" firstHeaderRow="1" firstDataRow="1" firstDataCol="1" rowPageCount="1" colPageCount="1"/>
  <pivotFields count="13">
    <pivotField showAll="0"/>
    <pivotField showAll="0"/>
    <pivotField showAll="0"/>
    <pivotField axis="axisPage" showAll="0">
      <items count="5">
        <item x="3"/>
        <item x="0"/>
        <item x="1"/>
        <item x="2"/>
        <item t="default"/>
      </items>
    </pivotField>
    <pivotField showAll="0">
      <items count="5">
        <item x="1"/>
        <item x="2"/>
        <item x="0"/>
        <item x="3"/>
        <item t="default"/>
      </items>
    </pivotField>
    <pivotField axis="axisRow" showAll="0">
      <items count="7">
        <item x="5"/>
        <item x="0"/>
        <item x="1"/>
        <item x="4"/>
        <item x="3"/>
        <item x="2"/>
        <item t="default"/>
      </items>
    </pivotField>
    <pivotField showAll="0">
      <items count="7">
        <item x="5"/>
        <item x="1"/>
        <item x="2"/>
        <item x="0"/>
        <item x="4"/>
        <item x="3"/>
        <item t="default"/>
      </items>
    </pivotField>
    <pivotField showAll="0">
      <items count="3">
        <item x="1"/>
        <item x="0"/>
        <item t="default"/>
      </items>
    </pivotField>
    <pivotField numFmtId="1" showAll="0"/>
    <pivotField numFmtId="164" showAll="0"/>
    <pivotField dataField="1" numFmtId="164" showAll="0"/>
    <pivotField showAll="0"/>
    <pivotField showAll="0"/>
  </pivotFields>
  <rowFields count="1">
    <field x="5"/>
  </rowFields>
  <rowItems count="7">
    <i>
      <x/>
    </i>
    <i>
      <x v="1"/>
    </i>
    <i>
      <x v="2"/>
    </i>
    <i>
      <x v="3"/>
    </i>
    <i>
      <x v="4"/>
    </i>
    <i>
      <x v="5"/>
    </i>
    <i t="grand">
      <x/>
    </i>
  </rowItems>
  <colItems count="1">
    <i/>
  </colItems>
  <pageFields count="1">
    <pageField fld="3" hier="-1"/>
  </pageFields>
  <dataFields count="1">
    <dataField name="Average of Revenue" fld="10" subtotal="average" baseField="7" baseItem="0" numFmtId="2"/>
  </dataFields>
  <formats count="12">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type="all" dataOnly="0" outline="0" fieldPosition="0"/>
    </format>
    <format dxfId="8">
      <pivotArea outline="0" collapsedLevelsAreSubtotals="1" fieldPosition="0"/>
    </format>
    <format dxfId="7">
      <pivotArea field="5" type="button" dataOnly="0" labelOnly="1" outline="0" axis="axisRow" fieldPosition="0"/>
    </format>
    <format dxfId="6">
      <pivotArea dataOnly="0" labelOnly="1" outline="0" axis="axisValues" fieldPosition="0"/>
    </format>
    <format dxfId="5">
      <pivotArea dataOnly="0" labelOnly="1" fieldPosition="0">
        <references count="1">
          <reference field="5" count="0"/>
        </references>
      </pivotArea>
    </format>
    <format dxfId="4">
      <pivotArea dataOnly="0" labelOnly="1" grandRow="1" outline="0"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D6:E11" firstHeaderRow="1" firstDataRow="1" firstDataCol="1"/>
  <pivotFields count="13">
    <pivotField showAll="0"/>
    <pivotField showAll="0"/>
    <pivotField showAll="0"/>
    <pivotField showAll="0">
      <items count="5">
        <item x="3"/>
        <item x="0"/>
        <item x="1"/>
        <item x="2"/>
        <item t="default"/>
      </items>
    </pivotField>
    <pivotField axis="axisRow" showAll="0">
      <items count="5">
        <item x="1"/>
        <item x="2"/>
        <item x="0"/>
        <item x="3"/>
        <item t="default"/>
      </items>
    </pivotField>
    <pivotField showAll="0"/>
    <pivotField showAll="0"/>
    <pivotField showAll="0"/>
    <pivotField numFmtId="1" showAll="0"/>
    <pivotField numFmtId="164" showAll="0"/>
    <pivotField dataField="1" numFmtId="164" showAll="0"/>
    <pivotField showAll="0"/>
    <pivotField showAll="0"/>
  </pivotFields>
  <rowFields count="1">
    <field x="4"/>
  </rowFields>
  <rowItems count="5">
    <i>
      <x/>
    </i>
    <i>
      <x v="1"/>
    </i>
    <i>
      <x v="2"/>
    </i>
    <i>
      <x v="3"/>
    </i>
    <i t="grand">
      <x/>
    </i>
  </rowItems>
  <colItems count="1">
    <i/>
  </colItems>
  <dataFields count="1">
    <dataField name="Sum of Revenue" fld="10" baseField="0" baseItem="0"/>
  </dataFields>
  <formats count="7">
    <format dxfId="21">
      <pivotArea type="all" dataOnly="0" outline="0" fieldPosition="0"/>
    </format>
    <format dxfId="20">
      <pivotArea outline="0" collapsedLevelsAreSubtotals="1" fieldPosition="0"/>
    </format>
    <format dxfId="19">
      <pivotArea field="4" type="button" dataOnly="0" labelOnly="1" outline="0" axis="axisRow" fieldPosition="0"/>
    </format>
    <format dxfId="18">
      <pivotArea dataOnly="0" labelOnly="1" outline="0" axis="axisValues" fieldPosition="0"/>
    </format>
    <format dxfId="17">
      <pivotArea dataOnly="0" labelOnly="1" fieldPosition="0">
        <references count="1">
          <reference field="4" count="0"/>
        </references>
      </pivotArea>
    </format>
    <format dxfId="16">
      <pivotArea dataOnly="0" labelOnly="1" grandRow="1" outline="0" fieldPosition="0"/>
    </format>
    <format dxfId="15">
      <pivotArea dataOnly="0" labelOnly="1" outline="0" axis="axisValues" fieldPosition="0"/>
    </format>
  </formats>
  <chartFormats count="10">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4" count="1" selected="0">
            <x v="0"/>
          </reference>
        </references>
      </pivotArea>
    </chartFormat>
    <chartFormat chart="5" format="13">
      <pivotArea type="data" outline="0" fieldPosition="0">
        <references count="2">
          <reference field="4294967294" count="1" selected="0">
            <x v="0"/>
          </reference>
          <reference field="4" count="1" selected="0">
            <x v="1"/>
          </reference>
        </references>
      </pivotArea>
    </chartFormat>
    <chartFormat chart="5" format="14">
      <pivotArea type="data" outline="0" fieldPosition="0">
        <references count="2">
          <reference field="4294967294" count="1" selected="0">
            <x v="0"/>
          </reference>
          <reference field="4" count="1" selected="0">
            <x v="2"/>
          </reference>
        </references>
      </pivotArea>
    </chartFormat>
    <chartFormat chart="5" format="15">
      <pivotArea type="data" outline="0" fieldPosition="0">
        <references count="2">
          <reference field="4294967294" count="1" selected="0">
            <x v="0"/>
          </reference>
          <reference field="4" count="1" selected="0">
            <x v="3"/>
          </reference>
        </references>
      </pivotArea>
    </chartFormat>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4" count="1" selected="0">
            <x v="0"/>
          </reference>
        </references>
      </pivotArea>
    </chartFormat>
    <chartFormat chart="7" format="23">
      <pivotArea type="data" outline="0" fieldPosition="0">
        <references count="2">
          <reference field="4294967294" count="1" selected="0">
            <x v="0"/>
          </reference>
          <reference field="4" count="1" selected="0">
            <x v="1"/>
          </reference>
        </references>
      </pivotArea>
    </chartFormat>
    <chartFormat chart="7" format="24">
      <pivotArea type="data" outline="0" fieldPosition="0">
        <references count="2">
          <reference field="4294967294" count="1" selected="0">
            <x v="0"/>
          </reference>
          <reference field="4" count="1" selected="0">
            <x v="2"/>
          </reference>
        </references>
      </pivotArea>
    </chartFormat>
    <chartFormat chart="7" format="2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22:I28" firstHeaderRow="1" firstDataRow="2" firstDataCol="1"/>
  <pivotFields count="13">
    <pivotField showAll="0"/>
    <pivotField showAll="0"/>
    <pivotField showAll="0"/>
    <pivotField axis="axisCol" showAll="0">
      <items count="5">
        <item x="3"/>
        <item x="0"/>
        <item x="1"/>
        <item x="2"/>
        <item t="default"/>
      </items>
    </pivotField>
    <pivotField axis="axisRow" showAll="0">
      <items count="5">
        <item x="1"/>
        <item x="2"/>
        <item x="0"/>
        <item x="3"/>
        <item t="default"/>
      </items>
    </pivotField>
    <pivotField showAll="0"/>
    <pivotField showAll="0">
      <items count="7">
        <item x="5"/>
        <item x="1"/>
        <item x="2"/>
        <item x="0"/>
        <item x="4"/>
        <item x="3"/>
        <item t="default"/>
      </items>
    </pivotField>
    <pivotField showAll="0">
      <items count="3">
        <item x="1"/>
        <item x="0"/>
        <item t="default"/>
      </items>
    </pivotField>
    <pivotField numFmtId="1" showAll="0"/>
    <pivotField numFmtId="164" showAll="0"/>
    <pivotField dataField="1" numFmtId="164" showAll="0"/>
    <pivotField showAll="0"/>
    <pivotField showAll="0"/>
  </pivotFields>
  <rowFields count="1">
    <field x="4"/>
  </rowFields>
  <rowItems count="5">
    <i>
      <x/>
    </i>
    <i>
      <x v="1"/>
    </i>
    <i>
      <x v="2"/>
    </i>
    <i>
      <x v="3"/>
    </i>
    <i t="grand">
      <x/>
    </i>
  </rowItems>
  <colFields count="1">
    <field x="3"/>
  </colFields>
  <colItems count="5">
    <i>
      <x/>
    </i>
    <i>
      <x v="1"/>
    </i>
    <i>
      <x v="2"/>
    </i>
    <i>
      <x v="3"/>
    </i>
    <i t="grand">
      <x/>
    </i>
  </colItems>
  <dataFields count="1">
    <dataField name="Average of Revenue" fld="10" subtotal="average" baseField="7" baseItem="0" numFmtId="1"/>
  </dataFields>
  <formats count="17">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type="origin" dataOnly="0" labelOnly="1" outline="0" fieldPosition="0"/>
    </format>
    <format dxfId="28">
      <pivotArea field="3" type="button" dataOnly="0" labelOnly="1" outline="0" axis="axisCol" fieldPosition="0"/>
    </format>
    <format dxfId="27">
      <pivotArea type="topRight" dataOnly="0" labelOnly="1" outline="0" fieldPosition="0"/>
    </format>
    <format dxfId="26">
      <pivotArea field="4" type="button" dataOnly="0" labelOnly="1" outline="0" axis="axisRow" fieldPosition="0"/>
    </format>
    <format dxfId="25">
      <pivotArea dataOnly="0" labelOnly="1" fieldPosition="0">
        <references count="1">
          <reference field="4" count="0"/>
        </references>
      </pivotArea>
    </format>
    <format dxfId="24">
      <pivotArea dataOnly="0" labelOnly="1" grandRow="1" outline="0" fieldPosition="0"/>
    </format>
    <format dxfId="23">
      <pivotArea dataOnly="0" labelOnly="1" fieldPosition="0">
        <references count="1">
          <reference field="3" count="0"/>
        </references>
      </pivotArea>
    </format>
    <format dxfId="22">
      <pivotArea dataOnly="0" labelOnly="1" grandCol="1" outline="0" fieldPosition="0"/>
    </format>
  </formats>
  <chartFormats count="8">
    <chartFormat chart="3" format="8" series="1">
      <pivotArea type="data" outline="0" fieldPosition="0">
        <references count="2">
          <reference field="4294967294" count="1" selected="0">
            <x v="0"/>
          </reference>
          <reference field="3" count="1" selected="0">
            <x v="0"/>
          </reference>
        </references>
      </pivotArea>
    </chartFormat>
    <chartFormat chart="3" format="9" series="1">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 chart="3" format="11" series="1">
      <pivotArea type="data" outline="0" fieldPosition="0">
        <references count="2">
          <reference field="4294967294" count="1" selected="0">
            <x v="0"/>
          </reference>
          <reference field="3" count="1" selected="0">
            <x v="3"/>
          </reference>
        </references>
      </pivotArea>
    </chartFormat>
    <chartFormat chart="6" format="16" series="1">
      <pivotArea type="data" outline="0" fieldPosition="0">
        <references count="2">
          <reference field="4294967294" count="1" selected="0">
            <x v="0"/>
          </reference>
          <reference field="3" count="1" selected="0">
            <x v="0"/>
          </reference>
        </references>
      </pivotArea>
    </chartFormat>
    <chartFormat chart="6" format="17" series="1">
      <pivotArea type="data" outline="0" fieldPosition="0">
        <references count="2">
          <reference field="4294967294" count="1" selected="0">
            <x v="0"/>
          </reference>
          <reference field="3" count="1" selected="0">
            <x v="1"/>
          </reference>
        </references>
      </pivotArea>
    </chartFormat>
    <chartFormat chart="6" format="18" series="1">
      <pivotArea type="data" outline="0" fieldPosition="0">
        <references count="2">
          <reference field="4294967294" count="1" selected="0">
            <x v="0"/>
          </reference>
          <reference field="3" count="1" selected="0">
            <x v="2"/>
          </reference>
        </references>
      </pivotArea>
    </chartFormat>
    <chartFormat chart="6" format="19"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1">
  <location ref="A6:B11" firstHeaderRow="1" firstDataRow="1" firstDataCol="1"/>
  <pivotFields count="13">
    <pivotField showAll="0"/>
    <pivotField showAll="0"/>
    <pivotField showAll="0">
      <items count="11">
        <item x="9"/>
        <item x="7"/>
        <item x="4"/>
        <item x="6"/>
        <item x="8"/>
        <item x="2"/>
        <item x="5"/>
        <item x="1"/>
        <item x="3"/>
        <item x="0"/>
        <item t="default"/>
      </items>
    </pivotField>
    <pivotField axis="axisRow" showAll="0">
      <items count="5">
        <item x="3"/>
        <item x="0"/>
        <item x="1"/>
        <item x="2"/>
        <item t="default"/>
      </items>
    </pivotField>
    <pivotField showAll="0"/>
    <pivotField showAll="0"/>
    <pivotField showAll="0"/>
    <pivotField showAll="0"/>
    <pivotField numFmtId="1" showAll="0"/>
    <pivotField numFmtId="164" showAll="0"/>
    <pivotField dataField="1" numFmtId="164" showAll="0"/>
    <pivotField showAll="0"/>
    <pivotField showAll="0"/>
  </pivotFields>
  <rowFields count="1">
    <field x="3"/>
  </rowFields>
  <rowItems count="5">
    <i>
      <x/>
    </i>
    <i>
      <x v="1"/>
    </i>
    <i>
      <x v="2"/>
    </i>
    <i>
      <x v="3"/>
    </i>
    <i t="grand">
      <x/>
    </i>
  </rowItems>
  <colItems count="1">
    <i/>
  </colItems>
  <dataFields count="1">
    <dataField name="Sum of Revenue" fld="10" baseField="0" baseItem="0"/>
  </dataFields>
  <formats count="7">
    <format dxfId="45">
      <pivotArea type="all" dataOnly="0" outline="0" fieldPosition="0"/>
    </format>
    <format dxfId="44">
      <pivotArea outline="0" collapsedLevelsAreSubtotals="1" fieldPosition="0"/>
    </format>
    <format dxfId="43">
      <pivotArea field="3" type="button" dataOnly="0" labelOnly="1" outline="0" axis="axisRow" fieldPosition="0"/>
    </format>
    <format dxfId="42">
      <pivotArea dataOnly="0" labelOnly="1" outline="0" axis="axisValues" fieldPosition="0"/>
    </format>
    <format dxfId="41">
      <pivotArea dataOnly="0" labelOnly="1" fieldPosition="0">
        <references count="1">
          <reference field="3" count="0"/>
        </references>
      </pivotArea>
    </format>
    <format dxfId="40">
      <pivotArea dataOnly="0" labelOnly="1" grandRow="1" outline="0" fieldPosition="0"/>
    </format>
    <format dxfId="39">
      <pivotArea dataOnly="0" labelOnly="1" outline="0" axis="axisValues" fieldPosition="0"/>
    </format>
  </formats>
  <chartFormats count="3">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D15:E18" firstHeaderRow="1" firstDataRow="1" firstDataCol="1"/>
  <pivotFields count="13">
    <pivotField showAll="0"/>
    <pivotField showAll="0"/>
    <pivotField showAll="0"/>
    <pivotField showAll="0">
      <items count="5">
        <item x="3"/>
        <item x="0"/>
        <item x="1"/>
        <item x="2"/>
        <item t="default"/>
      </items>
    </pivotField>
    <pivotField showAll="0">
      <items count="5">
        <item x="1"/>
        <item x="2"/>
        <item x="0"/>
        <item x="3"/>
        <item t="default"/>
      </items>
    </pivotField>
    <pivotField showAll="0"/>
    <pivotField showAll="0">
      <items count="7">
        <item x="5"/>
        <item x="1"/>
        <item x="2"/>
        <item x="0"/>
        <item x="4"/>
        <item x="3"/>
        <item t="default"/>
      </items>
    </pivotField>
    <pivotField axis="axisRow" showAll="0">
      <items count="3">
        <item x="1"/>
        <item x="0"/>
        <item t="default"/>
      </items>
    </pivotField>
    <pivotField numFmtId="1" showAll="0"/>
    <pivotField numFmtId="164" showAll="0"/>
    <pivotField dataField="1" numFmtId="164" showAll="0"/>
    <pivotField showAll="0"/>
    <pivotField showAll="0"/>
  </pivotFields>
  <rowFields count="1">
    <field x="7"/>
  </rowFields>
  <rowItems count="3">
    <i>
      <x/>
    </i>
    <i>
      <x v="1"/>
    </i>
    <i t="grand">
      <x/>
    </i>
  </rowItems>
  <colItems count="1">
    <i/>
  </colItems>
  <dataFields count="1">
    <dataField name="Average of Revenue" fld="10" subtotal="average" baseField="7" baseItem="0"/>
  </dataFields>
  <formats count="14">
    <format dxfId="59">
      <pivotArea collapsedLevelsAreSubtotals="1" fieldPosition="0">
        <references count="1">
          <reference field="7" count="0"/>
        </references>
      </pivotArea>
    </format>
    <format dxfId="58">
      <pivotArea collapsedLevelsAreSubtotals="1" fieldPosition="0">
        <references count="1">
          <reference field="7" count="0"/>
        </references>
      </pivotArea>
    </format>
    <format dxfId="57">
      <pivotArea collapsedLevelsAreSubtotals="1" fieldPosition="0">
        <references count="1">
          <reference field="7" count="0"/>
        </references>
      </pivotArea>
    </format>
    <format dxfId="56">
      <pivotArea collapsedLevelsAreSubtotals="1" fieldPosition="0">
        <references count="1">
          <reference field="7" count="0"/>
        </references>
      </pivotArea>
    </format>
    <format dxfId="55">
      <pivotArea collapsedLevelsAreSubtotals="1" fieldPosition="0">
        <references count="1">
          <reference field="7" count="0"/>
        </references>
      </pivotArea>
    </format>
    <format dxfId="54">
      <pivotArea collapsedLevelsAreSubtotals="1" fieldPosition="0">
        <references count="1">
          <reference field="7" count="0"/>
        </references>
      </pivotArea>
    </format>
    <format dxfId="53">
      <pivotArea collapsedLevelsAreSubtotals="1" fieldPosition="0">
        <references count="1">
          <reference field="7" count="0"/>
        </references>
      </pivotArea>
    </format>
    <format dxfId="52">
      <pivotArea type="all" dataOnly="0" outline="0" fieldPosition="0"/>
    </format>
    <format dxfId="51">
      <pivotArea outline="0" collapsedLevelsAreSubtotals="1" fieldPosition="0"/>
    </format>
    <format dxfId="50">
      <pivotArea field="7" type="button" dataOnly="0" labelOnly="1" outline="0" axis="axisRow" fieldPosition="0"/>
    </format>
    <format dxfId="49">
      <pivotArea dataOnly="0" labelOnly="1" outline="0" axis="axisValues" fieldPosition="0"/>
    </format>
    <format dxfId="48">
      <pivotArea dataOnly="0" labelOnly="1" fieldPosition="0">
        <references count="1">
          <reference field="7" count="0"/>
        </references>
      </pivotArea>
    </format>
    <format dxfId="47">
      <pivotArea dataOnly="0" labelOnly="1" grandRow="1" outline="0" fieldPosition="0"/>
    </format>
    <format dxfId="46">
      <pivotArea dataOnly="0" labelOnly="1" outline="0" axis="axisValues" fieldPosition="0"/>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 chart="5"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5:B22" firstHeaderRow="1" firstDataRow="1" firstDataCol="1"/>
  <pivotFields count="13">
    <pivotField showAll="0"/>
    <pivotField showAll="0"/>
    <pivotField showAll="0">
      <items count="11">
        <item x="9"/>
        <item x="7"/>
        <item x="4"/>
        <item x="6"/>
        <item x="8"/>
        <item x="2"/>
        <item x="5"/>
        <item x="1"/>
        <item x="3"/>
        <item x="0"/>
        <item t="default"/>
      </items>
    </pivotField>
    <pivotField showAll="0">
      <items count="5">
        <item x="3"/>
        <item x="0"/>
        <item x="1"/>
        <item x="2"/>
        <item t="default"/>
      </items>
    </pivotField>
    <pivotField showAll="0">
      <items count="5">
        <item x="1"/>
        <item x="2"/>
        <item x="0"/>
        <item x="3"/>
        <item t="default"/>
      </items>
    </pivotField>
    <pivotField showAll="0"/>
    <pivotField axis="axisRow" showAll="0">
      <items count="7">
        <item x="5"/>
        <item x="1"/>
        <item x="2"/>
        <item x="0"/>
        <item x="4"/>
        <item x="3"/>
        <item t="default"/>
      </items>
    </pivotField>
    <pivotField showAll="0"/>
    <pivotField numFmtId="1" showAll="0"/>
    <pivotField numFmtId="164" showAll="0"/>
    <pivotField dataField="1" numFmtId="164" showAll="0"/>
    <pivotField showAll="0"/>
    <pivotField showAll="0"/>
  </pivotFields>
  <rowFields count="1">
    <field x="6"/>
  </rowFields>
  <rowItems count="7">
    <i>
      <x/>
    </i>
    <i>
      <x v="1"/>
    </i>
    <i>
      <x v="2"/>
    </i>
    <i>
      <x v="3"/>
    </i>
    <i>
      <x v="4"/>
    </i>
    <i>
      <x v="5"/>
    </i>
    <i t="grand">
      <x/>
    </i>
  </rowItems>
  <colItems count="1">
    <i/>
  </colItems>
  <dataFields count="1">
    <dataField name="Sum of Revenue" fld="10" baseField="0" baseItem="0"/>
  </dataFields>
  <formats count="7">
    <format dxfId="66">
      <pivotArea type="all" dataOnly="0" outline="0" fieldPosition="0"/>
    </format>
    <format dxfId="65">
      <pivotArea outline="0" collapsedLevelsAreSubtotals="1" fieldPosition="0"/>
    </format>
    <format dxfId="64">
      <pivotArea field="6" type="button" dataOnly="0" labelOnly="1" outline="0" axis="axisRow" fieldPosition="0"/>
    </format>
    <format dxfId="63">
      <pivotArea dataOnly="0" labelOnly="1" outline="0" axis="axisValues" fieldPosition="0"/>
    </format>
    <format dxfId="62">
      <pivotArea dataOnly="0" labelOnly="1" fieldPosition="0">
        <references count="1">
          <reference field="6" count="0"/>
        </references>
      </pivotArea>
    </format>
    <format dxfId="61">
      <pivotArea dataOnly="0" labelOnly="1" grandRow="1" outline="0" fieldPosition="0"/>
    </format>
    <format dxfId="60">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G6:H17" firstHeaderRow="1" firstDataRow="1" firstDataCol="1"/>
  <pivotFields count="13">
    <pivotField showAll="0"/>
    <pivotField showAll="0"/>
    <pivotField axis="axisRow" showAll="0">
      <items count="11">
        <item x="9"/>
        <item x="7"/>
        <item x="4"/>
        <item x="6"/>
        <item x="8"/>
        <item x="2"/>
        <item x="5"/>
        <item x="1"/>
        <item x="3"/>
        <item x="0"/>
        <item t="default"/>
      </items>
    </pivotField>
    <pivotField showAll="0">
      <items count="5">
        <item x="3"/>
        <item x="0"/>
        <item x="1"/>
        <item x="2"/>
        <item t="default"/>
      </items>
    </pivotField>
    <pivotField showAll="0">
      <items count="5">
        <item x="1"/>
        <item x="2"/>
        <item x="0"/>
        <item x="3"/>
        <item t="default"/>
      </items>
    </pivotField>
    <pivotField showAll="0">
      <items count="7">
        <item x="5"/>
        <item x="0"/>
        <item x="1"/>
        <item x="4"/>
        <item x="3"/>
        <item x="2"/>
        <item t="default"/>
      </items>
    </pivotField>
    <pivotField showAll="0"/>
    <pivotField showAll="0"/>
    <pivotField dataField="1" numFmtId="1" showAll="0"/>
    <pivotField numFmtId="164" showAll="0"/>
    <pivotField numFmtId="164"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Quantity" fld="8" baseField="0" baseItem="0"/>
  </dataFields>
  <formats count="7">
    <format dxfId="73">
      <pivotArea type="all" dataOnly="0" outline="0" fieldPosition="0"/>
    </format>
    <format dxfId="72">
      <pivotArea outline="0" collapsedLevelsAreSubtotals="1" fieldPosition="0"/>
    </format>
    <format dxfId="71">
      <pivotArea field="2" type="button" dataOnly="0" labelOnly="1" outline="0" axis="axisRow" fieldPosition="0"/>
    </format>
    <format dxfId="70">
      <pivotArea dataOnly="0" labelOnly="1" outline="0" axis="axisValues" fieldPosition="0"/>
    </format>
    <format dxfId="69">
      <pivotArea dataOnly="0" labelOnly="1" fieldPosition="0">
        <references count="1">
          <reference field="2" count="0"/>
        </references>
      </pivotArea>
    </format>
    <format dxfId="68">
      <pivotArea dataOnly="0" labelOnly="1" grandRow="1" outline="0" fieldPosition="0"/>
    </format>
    <format dxfId="67">
      <pivotArea dataOnly="0" labelOnly="1" outline="0" axis="axisValues" fieldPosition="0"/>
    </format>
  </formats>
  <chartFormats count="3">
    <chartFormat chart="19"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1" sourceName="Product">
  <pivotTables>
    <pivotTable tabId="3" name="PivotTable5"/>
  </pivotTables>
  <data>
    <tabular pivotCacheId="1">
      <items count="10">
        <i x="9" s="1"/>
        <i x="7" s="1"/>
        <i x="4" s="1"/>
        <i x="6" s="1"/>
        <i x="8" s="1"/>
        <i x="2" s="1"/>
        <i x="5"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6"/>
  </pivotTables>
  <data>
    <tabular pivotCacheId="1">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ivotTable7"/>
  </pivotTables>
  <data>
    <tabular pivotCacheId="1">
      <items count="6">
        <i x="5" s="1"/>
        <i x="0" s="1"/>
        <i x="1" s="1"/>
        <i x="4"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 sourceName="Product">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1" cache="Slicer_Product1" caption="Product" rowHeight="241300"/>
  <slicer name="Category" cache="Slicer_Category" caption="Category" rowHeight="241300"/>
  <slicer name="City" cache="Slicer_City" caption="City" rowHeight="241300"/>
</slicers>
</file>

<file path=xl/tables/table1.xml><?xml version="1.0" encoding="utf-8"?>
<table xmlns="http://schemas.openxmlformats.org/spreadsheetml/2006/main" id="2" name="Table2" displayName="Table2" ref="A1:M258" totalsRowShown="0">
  <autoFilter ref="A1:M258"/>
  <tableColumns count="13">
    <tableColumn id="1" name="OrderID"/>
    <tableColumn id="2" name="Date"/>
    <tableColumn id="3" name="Product"/>
    <tableColumn id="4" name="Category"/>
    <tableColumn id="5" name="Region"/>
    <tableColumn id="6" name="City"/>
    <tableColumn id="7" name="Salesperson"/>
    <tableColumn id="8" name="CustomerType"/>
    <tableColumn id="9" name="Quantity"/>
    <tableColumn id="10" name="UnitPrice"/>
    <tableColumn id="11" name="Revenue"/>
    <tableColumn id="12" name="Revenue Category"/>
    <tableColumn id="13" name="Quantity Catego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K501"/>
  <sheetViews>
    <sheetView topLeftCell="A480" workbookViewId="0">
      <selection activeCell="D496" sqref="D496"/>
    </sheetView>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t="s">
        <v>14</v>
      </c>
      <c r="E2" t="s">
        <v>15</v>
      </c>
      <c r="F2" t="s">
        <v>16</v>
      </c>
      <c r="G2" t="s">
        <v>17</v>
      </c>
      <c r="H2" t="s">
        <v>18</v>
      </c>
      <c r="I2">
        <v>8</v>
      </c>
      <c r="J2">
        <v>164.5</v>
      </c>
      <c r="K2">
        <v>1316</v>
      </c>
    </row>
    <row r="3" spans="1:11" x14ac:dyDescent="0.35">
      <c r="A3" t="s">
        <v>19</v>
      </c>
      <c r="B3" t="s">
        <v>20</v>
      </c>
      <c r="C3" t="s">
        <v>21</v>
      </c>
      <c r="D3" t="s">
        <v>22</v>
      </c>
      <c r="E3" t="s">
        <v>15</v>
      </c>
      <c r="F3" t="s">
        <v>23</v>
      </c>
      <c r="G3" t="s">
        <v>24</v>
      </c>
      <c r="H3" t="s">
        <v>18</v>
      </c>
      <c r="I3">
        <v>9</v>
      </c>
      <c r="J3">
        <v>287.31</v>
      </c>
      <c r="K3">
        <v>2585.79</v>
      </c>
    </row>
    <row r="4" spans="1:11" x14ac:dyDescent="0.35">
      <c r="A4" t="s">
        <v>25</v>
      </c>
      <c r="B4" t="s">
        <v>26</v>
      </c>
      <c r="C4" t="s">
        <v>27</v>
      </c>
      <c r="D4" t="s">
        <v>14</v>
      </c>
      <c r="E4" t="s">
        <v>15</v>
      </c>
      <c r="F4" t="s">
        <v>28</v>
      </c>
      <c r="G4" t="s">
        <v>17</v>
      </c>
      <c r="H4" t="s">
        <v>29</v>
      </c>
      <c r="I4">
        <v>6</v>
      </c>
      <c r="J4">
        <v>22.74</v>
      </c>
      <c r="K4">
        <v>136.44</v>
      </c>
    </row>
    <row r="5" spans="1:11" x14ac:dyDescent="0.35">
      <c r="A5" t="s">
        <v>30</v>
      </c>
      <c r="B5" t="s">
        <v>31</v>
      </c>
      <c r="C5" t="s">
        <v>32</v>
      </c>
      <c r="D5" t="s">
        <v>33</v>
      </c>
      <c r="E5" t="s">
        <v>15</v>
      </c>
      <c r="F5" t="s">
        <v>34</v>
      </c>
      <c r="G5" t="s">
        <v>35</v>
      </c>
      <c r="H5" t="s">
        <v>29</v>
      </c>
      <c r="I5">
        <v>3</v>
      </c>
      <c r="J5">
        <v>3.27</v>
      </c>
      <c r="K5">
        <v>9.81</v>
      </c>
    </row>
    <row r="6" spans="1:11" x14ac:dyDescent="0.35">
      <c r="A6" t="s">
        <v>36</v>
      </c>
      <c r="B6" t="s">
        <v>37</v>
      </c>
      <c r="C6" t="s">
        <v>38</v>
      </c>
      <c r="D6" t="s">
        <v>14</v>
      </c>
      <c r="E6" t="s">
        <v>39</v>
      </c>
      <c r="F6" t="s">
        <v>40</v>
      </c>
      <c r="G6" t="s">
        <v>17</v>
      </c>
      <c r="H6" t="s">
        <v>18</v>
      </c>
      <c r="I6">
        <v>6</v>
      </c>
      <c r="J6">
        <v>33.67</v>
      </c>
      <c r="K6">
        <v>202.02</v>
      </c>
    </row>
    <row r="7" spans="1:11" x14ac:dyDescent="0.35">
      <c r="A7" t="s">
        <v>41</v>
      </c>
      <c r="B7" t="s">
        <v>42</v>
      </c>
      <c r="C7" t="s">
        <v>43</v>
      </c>
      <c r="D7" t="s">
        <v>33</v>
      </c>
      <c r="E7" t="s">
        <v>44</v>
      </c>
      <c r="F7" t="s">
        <v>16</v>
      </c>
      <c r="G7" t="s">
        <v>45</v>
      </c>
      <c r="H7" t="s">
        <v>18</v>
      </c>
      <c r="I7">
        <v>9</v>
      </c>
      <c r="J7">
        <v>4.5</v>
      </c>
      <c r="K7">
        <v>40.5</v>
      </c>
    </row>
    <row r="8" spans="1:11" x14ac:dyDescent="0.35">
      <c r="A8" t="s">
        <v>46</v>
      </c>
      <c r="B8" t="s">
        <v>37</v>
      </c>
      <c r="C8" t="s">
        <v>38</v>
      </c>
      <c r="D8" t="s">
        <v>14</v>
      </c>
      <c r="E8" t="s">
        <v>39</v>
      </c>
      <c r="F8" t="s">
        <v>47</v>
      </c>
      <c r="G8" t="s">
        <v>48</v>
      </c>
      <c r="H8" t="s">
        <v>18</v>
      </c>
      <c r="I8">
        <v>3</v>
      </c>
      <c r="J8">
        <v>37.24</v>
      </c>
      <c r="K8">
        <v>111.72</v>
      </c>
    </row>
    <row r="9" spans="1:11" x14ac:dyDescent="0.35">
      <c r="A9" t="s">
        <v>49</v>
      </c>
      <c r="B9" t="s">
        <v>50</v>
      </c>
      <c r="C9" t="s">
        <v>13</v>
      </c>
      <c r="D9" t="s">
        <v>14</v>
      </c>
      <c r="E9" t="s">
        <v>44</v>
      </c>
      <c r="F9" t="s">
        <v>40</v>
      </c>
      <c r="G9" t="s">
        <v>35</v>
      </c>
      <c r="H9" t="s">
        <v>29</v>
      </c>
      <c r="I9">
        <v>3</v>
      </c>
      <c r="J9">
        <v>165.41</v>
      </c>
      <c r="K9">
        <v>496.23</v>
      </c>
    </row>
    <row r="10" spans="1:11" x14ac:dyDescent="0.35">
      <c r="A10" t="s">
        <v>51</v>
      </c>
      <c r="B10" t="s">
        <v>52</v>
      </c>
      <c r="C10" t="s">
        <v>32</v>
      </c>
      <c r="D10" t="s">
        <v>33</v>
      </c>
      <c r="E10" t="s">
        <v>15</v>
      </c>
      <c r="F10" t="s">
        <v>23</v>
      </c>
      <c r="G10" t="s">
        <v>24</v>
      </c>
      <c r="H10" t="s">
        <v>18</v>
      </c>
      <c r="I10">
        <v>1</v>
      </c>
      <c r="J10">
        <v>2.86</v>
      </c>
      <c r="K10">
        <v>2.86</v>
      </c>
    </row>
    <row r="11" spans="1:11" x14ac:dyDescent="0.35">
      <c r="A11" t="s">
        <v>53</v>
      </c>
      <c r="B11" t="s">
        <v>54</v>
      </c>
      <c r="C11" t="s">
        <v>55</v>
      </c>
      <c r="D11" t="s">
        <v>14</v>
      </c>
      <c r="E11" t="s">
        <v>39</v>
      </c>
      <c r="F11" t="s">
        <v>47</v>
      </c>
      <c r="G11" t="s">
        <v>35</v>
      </c>
      <c r="H11" t="s">
        <v>29</v>
      </c>
      <c r="I11">
        <v>6</v>
      </c>
      <c r="J11">
        <v>730.62</v>
      </c>
      <c r="K11">
        <v>4383.72</v>
      </c>
    </row>
    <row r="12" spans="1:11" x14ac:dyDescent="0.35">
      <c r="A12" t="s">
        <v>56</v>
      </c>
      <c r="B12" t="s">
        <v>57</v>
      </c>
      <c r="C12" t="s">
        <v>58</v>
      </c>
      <c r="D12" t="s">
        <v>22</v>
      </c>
      <c r="E12" t="s">
        <v>44</v>
      </c>
      <c r="F12" t="s">
        <v>34</v>
      </c>
      <c r="G12" t="s">
        <v>45</v>
      </c>
      <c r="H12" t="s">
        <v>18</v>
      </c>
      <c r="I12">
        <v>3</v>
      </c>
      <c r="J12">
        <v>117.86</v>
      </c>
      <c r="K12">
        <v>353.58</v>
      </c>
    </row>
    <row r="13" spans="1:11" x14ac:dyDescent="0.35">
      <c r="A13" t="s">
        <v>59</v>
      </c>
      <c r="B13" t="s">
        <v>60</v>
      </c>
      <c r="C13" t="s">
        <v>61</v>
      </c>
      <c r="D13" t="s">
        <v>14</v>
      </c>
      <c r="E13" t="s">
        <v>15</v>
      </c>
      <c r="F13" t="s">
        <v>23</v>
      </c>
      <c r="G13" t="s">
        <v>48</v>
      </c>
      <c r="H13" t="s">
        <v>29</v>
      </c>
      <c r="I13">
        <v>8</v>
      </c>
      <c r="J13">
        <v>196.14</v>
      </c>
      <c r="K13">
        <v>1569.12</v>
      </c>
    </row>
    <row r="14" spans="1:11" x14ac:dyDescent="0.35">
      <c r="A14" t="s">
        <v>62</v>
      </c>
      <c r="B14" t="s">
        <v>50</v>
      </c>
      <c r="C14" t="s">
        <v>13</v>
      </c>
      <c r="D14" t="s">
        <v>14</v>
      </c>
      <c r="E14" t="s">
        <v>63</v>
      </c>
      <c r="F14" t="s">
        <v>34</v>
      </c>
      <c r="G14" t="s">
        <v>45</v>
      </c>
      <c r="H14" t="s">
        <v>29</v>
      </c>
      <c r="I14">
        <v>4</v>
      </c>
      <c r="J14">
        <v>140.99</v>
      </c>
      <c r="K14">
        <v>563.96</v>
      </c>
    </row>
    <row r="15" spans="1:11" x14ac:dyDescent="0.35">
      <c r="A15" t="s">
        <v>64</v>
      </c>
      <c r="B15" t="s">
        <v>65</v>
      </c>
      <c r="C15" t="s">
        <v>66</v>
      </c>
      <c r="D15" t="s">
        <v>67</v>
      </c>
      <c r="E15" t="s">
        <v>63</v>
      </c>
      <c r="F15" t="s">
        <v>47</v>
      </c>
      <c r="G15" t="s">
        <v>17</v>
      </c>
      <c r="H15" t="s">
        <v>29</v>
      </c>
      <c r="I15">
        <v>9</v>
      </c>
      <c r="J15">
        <v>45.17</v>
      </c>
      <c r="K15">
        <v>406.53</v>
      </c>
    </row>
    <row r="16" spans="1:11" x14ac:dyDescent="0.35">
      <c r="A16" t="s">
        <v>68</v>
      </c>
      <c r="B16" t="s">
        <v>69</v>
      </c>
      <c r="C16" t="s">
        <v>43</v>
      </c>
      <c r="D16" t="s">
        <v>33</v>
      </c>
      <c r="E16" t="s">
        <v>63</v>
      </c>
      <c r="F16" t="s">
        <v>40</v>
      </c>
      <c r="G16" t="s">
        <v>24</v>
      </c>
      <c r="H16" t="s">
        <v>18</v>
      </c>
      <c r="I16">
        <v>4</v>
      </c>
      <c r="J16">
        <v>5.53</v>
      </c>
      <c r="K16">
        <v>22.12</v>
      </c>
    </row>
    <row r="17" spans="1:11" x14ac:dyDescent="0.35">
      <c r="A17" t="s">
        <v>70</v>
      </c>
      <c r="B17" t="s">
        <v>71</v>
      </c>
      <c r="C17" t="s">
        <v>38</v>
      </c>
      <c r="D17" t="s">
        <v>14</v>
      </c>
      <c r="E17" t="s">
        <v>39</v>
      </c>
      <c r="F17" t="s">
        <v>40</v>
      </c>
      <c r="G17" t="s">
        <v>17</v>
      </c>
      <c r="H17" t="s">
        <v>29</v>
      </c>
      <c r="I17">
        <v>8</v>
      </c>
      <c r="J17">
        <v>32.29</v>
      </c>
      <c r="K17">
        <v>258.32</v>
      </c>
    </row>
    <row r="18" spans="1:11" x14ac:dyDescent="0.35">
      <c r="A18" t="s">
        <v>72</v>
      </c>
      <c r="B18" t="s">
        <v>73</v>
      </c>
      <c r="C18" t="s">
        <v>21</v>
      </c>
      <c r="D18" t="s">
        <v>22</v>
      </c>
      <c r="E18" t="s">
        <v>63</v>
      </c>
      <c r="F18" t="s">
        <v>40</v>
      </c>
      <c r="G18" t="s">
        <v>74</v>
      </c>
      <c r="H18" t="s">
        <v>29</v>
      </c>
      <c r="I18">
        <v>5</v>
      </c>
      <c r="J18">
        <v>254.15</v>
      </c>
      <c r="K18">
        <v>1270.75</v>
      </c>
    </row>
    <row r="19" spans="1:11" x14ac:dyDescent="0.35">
      <c r="A19" t="s">
        <v>75</v>
      </c>
      <c r="B19" t="s">
        <v>57</v>
      </c>
      <c r="C19" t="s">
        <v>27</v>
      </c>
      <c r="D19" t="s">
        <v>14</v>
      </c>
      <c r="E19" t="s">
        <v>44</v>
      </c>
      <c r="F19" t="s">
        <v>34</v>
      </c>
      <c r="G19" t="s">
        <v>48</v>
      </c>
      <c r="H19" t="s">
        <v>29</v>
      </c>
      <c r="I19">
        <v>1</v>
      </c>
      <c r="J19">
        <v>21.48</v>
      </c>
      <c r="K19">
        <v>21.48</v>
      </c>
    </row>
    <row r="20" spans="1:11" x14ac:dyDescent="0.35">
      <c r="A20" t="s">
        <v>76</v>
      </c>
      <c r="B20" t="s">
        <v>77</v>
      </c>
      <c r="C20" t="s">
        <v>43</v>
      </c>
      <c r="D20" t="s">
        <v>33</v>
      </c>
      <c r="E20" t="s">
        <v>63</v>
      </c>
      <c r="F20" t="s">
        <v>47</v>
      </c>
      <c r="G20" t="s">
        <v>74</v>
      </c>
      <c r="H20" t="s">
        <v>18</v>
      </c>
      <c r="I20">
        <v>4</v>
      </c>
      <c r="J20">
        <v>5.78</v>
      </c>
      <c r="K20">
        <v>23.12</v>
      </c>
    </row>
    <row r="21" spans="1:11" x14ac:dyDescent="0.35">
      <c r="A21" t="s">
        <v>78</v>
      </c>
      <c r="B21" t="s">
        <v>42</v>
      </c>
      <c r="C21" t="s">
        <v>32</v>
      </c>
      <c r="D21" t="s">
        <v>33</v>
      </c>
      <c r="E21" t="s">
        <v>15</v>
      </c>
      <c r="F21" t="s">
        <v>47</v>
      </c>
      <c r="G21" t="s">
        <v>17</v>
      </c>
      <c r="H21" t="s">
        <v>29</v>
      </c>
      <c r="I21">
        <v>1</v>
      </c>
      <c r="J21">
        <v>3.52</v>
      </c>
      <c r="K21">
        <v>3.52</v>
      </c>
    </row>
    <row r="22" spans="1:11" x14ac:dyDescent="0.35">
      <c r="A22" t="s">
        <v>79</v>
      </c>
      <c r="B22" t="s">
        <v>69</v>
      </c>
      <c r="C22" t="s">
        <v>66</v>
      </c>
      <c r="D22" t="s">
        <v>67</v>
      </c>
      <c r="E22" t="s">
        <v>39</v>
      </c>
      <c r="F22" t="s">
        <v>28</v>
      </c>
      <c r="G22" t="s">
        <v>17</v>
      </c>
      <c r="H22" t="s">
        <v>18</v>
      </c>
      <c r="I22">
        <v>4</v>
      </c>
      <c r="J22">
        <v>43.68</v>
      </c>
      <c r="K22">
        <v>174.72</v>
      </c>
    </row>
    <row r="23" spans="1:11" x14ac:dyDescent="0.35">
      <c r="A23" t="s">
        <v>80</v>
      </c>
      <c r="B23" t="s">
        <v>69</v>
      </c>
      <c r="C23" t="s">
        <v>21</v>
      </c>
      <c r="D23" t="s">
        <v>22</v>
      </c>
      <c r="E23" t="s">
        <v>15</v>
      </c>
      <c r="F23" t="s">
        <v>23</v>
      </c>
      <c r="G23" t="s">
        <v>17</v>
      </c>
      <c r="H23" t="s">
        <v>29</v>
      </c>
      <c r="I23">
        <v>6</v>
      </c>
      <c r="J23">
        <v>256.16000000000003</v>
      </c>
      <c r="K23">
        <v>1536.96</v>
      </c>
    </row>
    <row r="24" spans="1:11" x14ac:dyDescent="0.35">
      <c r="A24" t="s">
        <v>81</v>
      </c>
      <c r="B24" t="s">
        <v>26</v>
      </c>
      <c r="C24" t="s">
        <v>38</v>
      </c>
      <c r="D24" t="s">
        <v>14</v>
      </c>
      <c r="E24" t="s">
        <v>15</v>
      </c>
      <c r="F24" t="s">
        <v>34</v>
      </c>
      <c r="G24" t="s">
        <v>48</v>
      </c>
      <c r="H24" t="s">
        <v>29</v>
      </c>
      <c r="I24">
        <v>5</v>
      </c>
      <c r="J24">
        <v>39.76</v>
      </c>
      <c r="K24">
        <v>198.8</v>
      </c>
    </row>
    <row r="25" spans="1:11" x14ac:dyDescent="0.35">
      <c r="A25" t="s">
        <v>82</v>
      </c>
      <c r="B25" t="s">
        <v>12</v>
      </c>
      <c r="C25" t="s">
        <v>58</v>
      </c>
      <c r="D25" t="s">
        <v>22</v>
      </c>
      <c r="E25" t="s">
        <v>63</v>
      </c>
      <c r="F25" t="s">
        <v>28</v>
      </c>
      <c r="G25" t="s">
        <v>45</v>
      </c>
      <c r="H25" t="s">
        <v>18</v>
      </c>
      <c r="I25">
        <v>9</v>
      </c>
      <c r="J25">
        <v>125.67</v>
      </c>
      <c r="K25">
        <v>1131.03</v>
      </c>
    </row>
    <row r="26" spans="1:11" x14ac:dyDescent="0.35">
      <c r="A26" t="s">
        <v>83</v>
      </c>
      <c r="B26" t="s">
        <v>84</v>
      </c>
      <c r="C26" t="s">
        <v>66</v>
      </c>
      <c r="D26" t="s">
        <v>67</v>
      </c>
      <c r="E26" t="s">
        <v>44</v>
      </c>
      <c r="F26" t="s">
        <v>34</v>
      </c>
      <c r="G26" t="s">
        <v>35</v>
      </c>
      <c r="H26" t="s">
        <v>18</v>
      </c>
      <c r="I26">
        <v>1</v>
      </c>
      <c r="J26">
        <v>41.99</v>
      </c>
      <c r="K26">
        <v>41.99</v>
      </c>
    </row>
    <row r="27" spans="1:11" x14ac:dyDescent="0.35">
      <c r="A27" t="s">
        <v>85</v>
      </c>
      <c r="B27" t="s">
        <v>69</v>
      </c>
      <c r="C27" t="s">
        <v>13</v>
      </c>
      <c r="D27" t="s">
        <v>14</v>
      </c>
      <c r="E27" t="s">
        <v>44</v>
      </c>
      <c r="F27" t="s">
        <v>28</v>
      </c>
      <c r="G27" t="s">
        <v>45</v>
      </c>
      <c r="H27" t="s">
        <v>18</v>
      </c>
      <c r="I27">
        <v>6</v>
      </c>
      <c r="J27">
        <v>151.05000000000001</v>
      </c>
      <c r="K27">
        <v>906.3</v>
      </c>
    </row>
    <row r="28" spans="1:11" x14ac:dyDescent="0.35">
      <c r="A28" t="s">
        <v>86</v>
      </c>
      <c r="B28" t="s">
        <v>71</v>
      </c>
      <c r="C28" t="s">
        <v>13</v>
      </c>
      <c r="D28" t="s">
        <v>14</v>
      </c>
      <c r="E28" t="s">
        <v>63</v>
      </c>
      <c r="F28" t="s">
        <v>40</v>
      </c>
      <c r="G28" t="s">
        <v>24</v>
      </c>
      <c r="H28" t="s">
        <v>18</v>
      </c>
      <c r="I28">
        <v>1</v>
      </c>
      <c r="J28">
        <v>161.69999999999999</v>
      </c>
      <c r="K28">
        <v>161.69999999999999</v>
      </c>
    </row>
    <row r="29" spans="1:11" x14ac:dyDescent="0.35">
      <c r="A29" t="s">
        <v>87</v>
      </c>
      <c r="B29" t="s">
        <v>88</v>
      </c>
      <c r="C29" t="s">
        <v>32</v>
      </c>
      <c r="D29" t="s">
        <v>33</v>
      </c>
      <c r="E29" t="s">
        <v>63</v>
      </c>
      <c r="F29" t="s">
        <v>16</v>
      </c>
      <c r="G29" t="s">
        <v>45</v>
      </c>
      <c r="H29" t="s">
        <v>29</v>
      </c>
      <c r="I29">
        <v>1</v>
      </c>
      <c r="J29">
        <v>3.06</v>
      </c>
      <c r="K29">
        <v>3.06</v>
      </c>
    </row>
    <row r="30" spans="1:11" x14ac:dyDescent="0.35">
      <c r="A30" t="s">
        <v>89</v>
      </c>
      <c r="B30" t="s">
        <v>90</v>
      </c>
      <c r="C30" t="s">
        <v>32</v>
      </c>
      <c r="D30" t="s">
        <v>33</v>
      </c>
      <c r="E30" t="s">
        <v>39</v>
      </c>
      <c r="F30" t="s">
        <v>16</v>
      </c>
      <c r="G30" t="s">
        <v>45</v>
      </c>
      <c r="H30" t="s">
        <v>29</v>
      </c>
      <c r="I30">
        <v>10</v>
      </c>
      <c r="J30">
        <v>3.07</v>
      </c>
      <c r="K30">
        <v>30.7</v>
      </c>
    </row>
    <row r="31" spans="1:11" x14ac:dyDescent="0.35">
      <c r="A31" t="s">
        <v>91</v>
      </c>
      <c r="B31" t="s">
        <v>84</v>
      </c>
      <c r="C31" t="s">
        <v>21</v>
      </c>
      <c r="D31" t="s">
        <v>22</v>
      </c>
      <c r="E31" t="s">
        <v>63</v>
      </c>
      <c r="F31" t="s">
        <v>40</v>
      </c>
      <c r="G31" t="s">
        <v>35</v>
      </c>
      <c r="H31" t="s">
        <v>18</v>
      </c>
      <c r="I31">
        <v>4</v>
      </c>
      <c r="J31">
        <v>298.12</v>
      </c>
      <c r="K31">
        <v>1192.48</v>
      </c>
    </row>
    <row r="32" spans="1:11" x14ac:dyDescent="0.35">
      <c r="A32" t="s">
        <v>92</v>
      </c>
      <c r="B32" t="s">
        <v>12</v>
      </c>
      <c r="C32" t="s">
        <v>58</v>
      </c>
      <c r="D32" t="s">
        <v>22</v>
      </c>
      <c r="E32" t="s">
        <v>63</v>
      </c>
      <c r="F32" t="s">
        <v>34</v>
      </c>
      <c r="G32" t="s">
        <v>48</v>
      </c>
      <c r="H32" t="s">
        <v>18</v>
      </c>
      <c r="I32">
        <v>4</v>
      </c>
      <c r="J32">
        <v>141.11000000000001</v>
      </c>
      <c r="K32">
        <v>564.44000000000005</v>
      </c>
    </row>
    <row r="33" spans="1:11" x14ac:dyDescent="0.35">
      <c r="A33" t="s">
        <v>93</v>
      </c>
      <c r="B33" t="s">
        <v>94</v>
      </c>
      <c r="C33" t="s">
        <v>55</v>
      </c>
      <c r="D33" t="s">
        <v>14</v>
      </c>
      <c r="E33" t="s">
        <v>63</v>
      </c>
      <c r="F33" t="s">
        <v>28</v>
      </c>
      <c r="G33" t="s">
        <v>45</v>
      </c>
      <c r="H33" t="s">
        <v>18</v>
      </c>
      <c r="I33">
        <v>9</v>
      </c>
      <c r="J33">
        <v>780.05</v>
      </c>
      <c r="K33">
        <v>7020.45</v>
      </c>
    </row>
    <row r="34" spans="1:11" x14ac:dyDescent="0.35">
      <c r="A34" t="s">
        <v>95</v>
      </c>
      <c r="B34" t="s">
        <v>54</v>
      </c>
      <c r="C34" t="s">
        <v>55</v>
      </c>
      <c r="D34" t="s">
        <v>14</v>
      </c>
      <c r="E34" t="s">
        <v>15</v>
      </c>
      <c r="F34" t="s">
        <v>28</v>
      </c>
      <c r="G34" t="s">
        <v>48</v>
      </c>
      <c r="H34" t="s">
        <v>18</v>
      </c>
      <c r="I34">
        <v>4</v>
      </c>
      <c r="J34">
        <v>820.56</v>
      </c>
      <c r="K34">
        <v>3282.24</v>
      </c>
    </row>
    <row r="35" spans="1:11" x14ac:dyDescent="0.35">
      <c r="A35" t="s">
        <v>96</v>
      </c>
      <c r="B35" t="s">
        <v>97</v>
      </c>
      <c r="C35" t="s">
        <v>66</v>
      </c>
      <c r="D35" t="s">
        <v>67</v>
      </c>
      <c r="E35" t="s">
        <v>15</v>
      </c>
      <c r="F35" t="s">
        <v>40</v>
      </c>
      <c r="G35" t="s">
        <v>48</v>
      </c>
      <c r="H35" t="s">
        <v>18</v>
      </c>
      <c r="I35">
        <v>5</v>
      </c>
      <c r="J35">
        <v>36.270000000000003</v>
      </c>
      <c r="K35">
        <v>181.35</v>
      </c>
    </row>
    <row r="36" spans="1:11" x14ac:dyDescent="0.35">
      <c r="A36" t="s">
        <v>98</v>
      </c>
      <c r="B36" t="s">
        <v>94</v>
      </c>
      <c r="C36" t="s">
        <v>21</v>
      </c>
      <c r="D36" t="s">
        <v>22</v>
      </c>
      <c r="E36" t="s">
        <v>15</v>
      </c>
      <c r="F36" t="s">
        <v>40</v>
      </c>
      <c r="G36" t="s">
        <v>48</v>
      </c>
      <c r="H36" t="s">
        <v>29</v>
      </c>
      <c r="I36">
        <v>9</v>
      </c>
      <c r="J36">
        <v>235.22</v>
      </c>
      <c r="K36">
        <v>2116.98</v>
      </c>
    </row>
    <row r="37" spans="1:11" x14ac:dyDescent="0.35">
      <c r="A37" t="s">
        <v>99</v>
      </c>
      <c r="B37" t="s">
        <v>84</v>
      </c>
      <c r="C37" t="s">
        <v>58</v>
      </c>
      <c r="D37" t="s">
        <v>22</v>
      </c>
      <c r="E37" t="s">
        <v>63</v>
      </c>
      <c r="F37" t="s">
        <v>28</v>
      </c>
      <c r="G37" t="s">
        <v>35</v>
      </c>
      <c r="H37" t="s">
        <v>29</v>
      </c>
      <c r="I37">
        <v>5</v>
      </c>
      <c r="J37">
        <v>110.89</v>
      </c>
      <c r="K37">
        <v>554.45000000000005</v>
      </c>
    </row>
    <row r="38" spans="1:11" x14ac:dyDescent="0.35">
      <c r="A38" t="s">
        <v>100</v>
      </c>
      <c r="B38" t="s">
        <v>65</v>
      </c>
      <c r="C38" t="s">
        <v>32</v>
      </c>
      <c r="D38" t="s">
        <v>33</v>
      </c>
      <c r="E38" t="s">
        <v>44</v>
      </c>
      <c r="F38" t="s">
        <v>40</v>
      </c>
      <c r="G38" t="s">
        <v>74</v>
      </c>
      <c r="H38" t="s">
        <v>29</v>
      </c>
      <c r="I38">
        <v>4</v>
      </c>
      <c r="J38">
        <v>3.14</v>
      </c>
      <c r="K38">
        <v>12.56</v>
      </c>
    </row>
    <row r="39" spans="1:11" x14ac:dyDescent="0.35">
      <c r="A39" t="s">
        <v>101</v>
      </c>
      <c r="B39" t="s">
        <v>102</v>
      </c>
      <c r="C39" t="s">
        <v>66</v>
      </c>
      <c r="D39" t="s">
        <v>67</v>
      </c>
      <c r="E39" t="s">
        <v>63</v>
      </c>
      <c r="F39" t="s">
        <v>47</v>
      </c>
      <c r="G39" t="s">
        <v>24</v>
      </c>
      <c r="H39" t="s">
        <v>18</v>
      </c>
      <c r="I39">
        <v>10</v>
      </c>
      <c r="J39">
        <v>45.76</v>
      </c>
      <c r="K39">
        <v>457.6</v>
      </c>
    </row>
    <row r="40" spans="1:11" x14ac:dyDescent="0.35">
      <c r="A40" t="s">
        <v>103</v>
      </c>
      <c r="B40" t="s">
        <v>20</v>
      </c>
      <c r="C40" t="s">
        <v>32</v>
      </c>
      <c r="D40" t="s">
        <v>33</v>
      </c>
      <c r="E40" t="s">
        <v>39</v>
      </c>
      <c r="F40" t="s">
        <v>16</v>
      </c>
      <c r="G40" t="s">
        <v>45</v>
      </c>
      <c r="H40" t="s">
        <v>29</v>
      </c>
      <c r="I40">
        <v>3</v>
      </c>
      <c r="J40">
        <v>3</v>
      </c>
      <c r="K40">
        <v>9</v>
      </c>
    </row>
    <row r="41" spans="1:11" x14ac:dyDescent="0.35">
      <c r="A41" t="s">
        <v>104</v>
      </c>
      <c r="B41" t="s">
        <v>84</v>
      </c>
      <c r="C41" t="s">
        <v>27</v>
      </c>
      <c r="D41" t="s">
        <v>14</v>
      </c>
      <c r="E41" t="s">
        <v>15</v>
      </c>
      <c r="F41" t="s">
        <v>47</v>
      </c>
      <c r="G41" t="s">
        <v>24</v>
      </c>
      <c r="H41" t="s">
        <v>29</v>
      </c>
      <c r="I41">
        <v>1</v>
      </c>
      <c r="J41">
        <v>21.46</v>
      </c>
      <c r="K41">
        <v>21.46</v>
      </c>
    </row>
    <row r="42" spans="1:11" x14ac:dyDescent="0.35">
      <c r="A42" t="s">
        <v>105</v>
      </c>
      <c r="B42" t="s">
        <v>57</v>
      </c>
      <c r="C42" t="s">
        <v>58</v>
      </c>
      <c r="D42" t="s">
        <v>22</v>
      </c>
      <c r="E42" t="s">
        <v>44</v>
      </c>
      <c r="F42" t="s">
        <v>40</v>
      </c>
      <c r="G42" t="s">
        <v>35</v>
      </c>
      <c r="H42" t="s">
        <v>29</v>
      </c>
      <c r="I42">
        <v>7</v>
      </c>
      <c r="J42">
        <v>123.11</v>
      </c>
      <c r="K42">
        <v>861.77</v>
      </c>
    </row>
    <row r="43" spans="1:11" x14ac:dyDescent="0.35">
      <c r="A43" t="s">
        <v>106</v>
      </c>
      <c r="B43" t="s">
        <v>107</v>
      </c>
      <c r="C43" t="s">
        <v>32</v>
      </c>
      <c r="D43" t="s">
        <v>33</v>
      </c>
      <c r="E43" t="s">
        <v>15</v>
      </c>
      <c r="F43" t="s">
        <v>16</v>
      </c>
      <c r="G43" t="s">
        <v>35</v>
      </c>
      <c r="H43" t="s">
        <v>18</v>
      </c>
      <c r="I43">
        <v>9</v>
      </c>
      <c r="J43">
        <v>3.36</v>
      </c>
      <c r="K43">
        <v>30.24</v>
      </c>
    </row>
    <row r="44" spans="1:11" x14ac:dyDescent="0.35">
      <c r="A44" t="s">
        <v>108</v>
      </c>
      <c r="B44" t="s">
        <v>97</v>
      </c>
      <c r="C44" t="s">
        <v>38</v>
      </c>
      <c r="D44" t="s">
        <v>14</v>
      </c>
      <c r="E44" t="s">
        <v>44</v>
      </c>
      <c r="F44" t="s">
        <v>34</v>
      </c>
      <c r="G44" t="s">
        <v>17</v>
      </c>
      <c r="H44" t="s">
        <v>18</v>
      </c>
      <c r="I44">
        <v>5</v>
      </c>
      <c r="J44">
        <v>39.299999999999997</v>
      </c>
      <c r="K44">
        <v>196.5</v>
      </c>
    </row>
    <row r="45" spans="1:11" x14ac:dyDescent="0.35">
      <c r="A45" t="s">
        <v>109</v>
      </c>
      <c r="B45" t="s">
        <v>12</v>
      </c>
      <c r="C45" t="s">
        <v>58</v>
      </c>
      <c r="D45" t="s">
        <v>22</v>
      </c>
      <c r="E45" t="s">
        <v>63</v>
      </c>
      <c r="F45" t="s">
        <v>23</v>
      </c>
      <c r="G45" t="s">
        <v>48</v>
      </c>
      <c r="H45" t="s">
        <v>29</v>
      </c>
      <c r="I45">
        <v>1</v>
      </c>
      <c r="J45">
        <v>135.72</v>
      </c>
      <c r="K45">
        <v>135.72</v>
      </c>
    </row>
    <row r="46" spans="1:11" x14ac:dyDescent="0.35">
      <c r="A46" t="s">
        <v>110</v>
      </c>
      <c r="B46" t="s">
        <v>111</v>
      </c>
      <c r="C46" t="s">
        <v>32</v>
      </c>
      <c r="D46" t="s">
        <v>33</v>
      </c>
      <c r="E46" t="s">
        <v>44</v>
      </c>
      <c r="F46" t="s">
        <v>28</v>
      </c>
      <c r="G46" t="s">
        <v>48</v>
      </c>
      <c r="H46" t="s">
        <v>18</v>
      </c>
      <c r="I46">
        <v>7</v>
      </c>
      <c r="J46">
        <v>2.92</v>
      </c>
      <c r="K46">
        <v>20.440000000000001</v>
      </c>
    </row>
    <row r="47" spans="1:11" x14ac:dyDescent="0.35">
      <c r="A47" t="s">
        <v>112</v>
      </c>
      <c r="B47" t="s">
        <v>73</v>
      </c>
      <c r="C47" t="s">
        <v>27</v>
      </c>
      <c r="D47" t="s">
        <v>14</v>
      </c>
      <c r="E47" t="s">
        <v>15</v>
      </c>
      <c r="F47" t="s">
        <v>34</v>
      </c>
      <c r="G47" t="s">
        <v>45</v>
      </c>
      <c r="H47" t="s">
        <v>29</v>
      </c>
      <c r="I47">
        <v>8</v>
      </c>
      <c r="J47">
        <v>22.99</v>
      </c>
      <c r="K47">
        <v>183.92</v>
      </c>
    </row>
    <row r="48" spans="1:11" x14ac:dyDescent="0.35">
      <c r="A48" t="s">
        <v>113</v>
      </c>
      <c r="B48" t="s">
        <v>84</v>
      </c>
      <c r="C48" t="s">
        <v>13</v>
      </c>
      <c r="D48" t="s">
        <v>14</v>
      </c>
      <c r="E48" t="s">
        <v>15</v>
      </c>
      <c r="F48" t="s">
        <v>40</v>
      </c>
      <c r="G48" t="s">
        <v>35</v>
      </c>
      <c r="H48" t="s">
        <v>18</v>
      </c>
      <c r="I48">
        <v>3</v>
      </c>
      <c r="J48">
        <v>159.76</v>
      </c>
      <c r="K48">
        <v>479.28</v>
      </c>
    </row>
    <row r="49" spans="1:11" x14ac:dyDescent="0.35">
      <c r="A49" t="s">
        <v>114</v>
      </c>
      <c r="B49" t="s">
        <v>90</v>
      </c>
      <c r="C49" t="s">
        <v>27</v>
      </c>
      <c r="D49" t="s">
        <v>14</v>
      </c>
      <c r="E49" t="s">
        <v>44</v>
      </c>
      <c r="F49" t="s">
        <v>28</v>
      </c>
      <c r="G49" t="s">
        <v>35</v>
      </c>
      <c r="H49" t="s">
        <v>18</v>
      </c>
      <c r="I49">
        <v>3</v>
      </c>
      <c r="J49">
        <v>22.51</v>
      </c>
      <c r="K49">
        <v>67.53</v>
      </c>
    </row>
    <row r="50" spans="1:11" x14ac:dyDescent="0.35">
      <c r="A50" t="s">
        <v>115</v>
      </c>
      <c r="B50" t="s">
        <v>42</v>
      </c>
      <c r="C50" t="s">
        <v>13</v>
      </c>
      <c r="D50" t="s">
        <v>14</v>
      </c>
      <c r="E50" t="s">
        <v>63</v>
      </c>
      <c r="F50" t="s">
        <v>47</v>
      </c>
      <c r="G50" t="s">
        <v>74</v>
      </c>
      <c r="H50" t="s">
        <v>18</v>
      </c>
      <c r="I50">
        <v>5</v>
      </c>
      <c r="J50">
        <v>160.86000000000001</v>
      </c>
      <c r="K50">
        <v>804.3</v>
      </c>
    </row>
    <row r="51" spans="1:11" x14ac:dyDescent="0.35">
      <c r="A51" t="s">
        <v>116</v>
      </c>
      <c r="B51" t="s">
        <v>84</v>
      </c>
      <c r="C51" t="s">
        <v>58</v>
      </c>
      <c r="D51" t="s">
        <v>22</v>
      </c>
      <c r="E51" t="s">
        <v>44</v>
      </c>
      <c r="F51" t="s">
        <v>23</v>
      </c>
      <c r="G51" t="s">
        <v>35</v>
      </c>
      <c r="H51" t="s">
        <v>29</v>
      </c>
      <c r="I51">
        <v>5</v>
      </c>
      <c r="J51">
        <v>123.24</v>
      </c>
      <c r="K51">
        <v>616.20000000000005</v>
      </c>
    </row>
    <row r="52" spans="1:11" x14ac:dyDescent="0.35">
      <c r="A52" t="s">
        <v>117</v>
      </c>
      <c r="B52" t="s">
        <v>118</v>
      </c>
      <c r="C52" t="s">
        <v>55</v>
      </c>
      <c r="D52" t="s">
        <v>14</v>
      </c>
      <c r="E52" t="s">
        <v>44</v>
      </c>
      <c r="F52" t="s">
        <v>28</v>
      </c>
      <c r="G52" t="s">
        <v>48</v>
      </c>
      <c r="H52" t="s">
        <v>29</v>
      </c>
      <c r="I52">
        <v>5</v>
      </c>
      <c r="J52">
        <v>704.06</v>
      </c>
      <c r="K52">
        <v>3520.3</v>
      </c>
    </row>
    <row r="53" spans="1:11" x14ac:dyDescent="0.35">
      <c r="A53" t="s">
        <v>119</v>
      </c>
      <c r="B53" t="s">
        <v>42</v>
      </c>
      <c r="C53" t="s">
        <v>66</v>
      </c>
      <c r="D53" t="s">
        <v>67</v>
      </c>
      <c r="E53" t="s">
        <v>39</v>
      </c>
      <c r="F53" t="s">
        <v>23</v>
      </c>
      <c r="G53" t="s">
        <v>24</v>
      </c>
      <c r="H53" t="s">
        <v>29</v>
      </c>
      <c r="I53">
        <v>10</v>
      </c>
      <c r="J53">
        <v>41.95</v>
      </c>
      <c r="K53">
        <v>419.5</v>
      </c>
    </row>
    <row r="54" spans="1:11" x14ac:dyDescent="0.35">
      <c r="A54" t="s">
        <v>120</v>
      </c>
      <c r="B54" t="s">
        <v>71</v>
      </c>
      <c r="C54" t="s">
        <v>55</v>
      </c>
      <c r="D54" t="s">
        <v>14</v>
      </c>
      <c r="E54" t="s">
        <v>15</v>
      </c>
      <c r="F54" t="s">
        <v>16</v>
      </c>
      <c r="G54" t="s">
        <v>74</v>
      </c>
      <c r="H54" t="s">
        <v>29</v>
      </c>
      <c r="I54">
        <v>3</v>
      </c>
      <c r="J54">
        <v>823.3</v>
      </c>
      <c r="K54">
        <v>2469.9</v>
      </c>
    </row>
    <row r="55" spans="1:11" x14ac:dyDescent="0.35">
      <c r="A55" t="s">
        <v>121</v>
      </c>
      <c r="B55" t="s">
        <v>26</v>
      </c>
      <c r="C55" t="s">
        <v>13</v>
      </c>
      <c r="D55" t="s">
        <v>14</v>
      </c>
      <c r="E55" t="s">
        <v>39</v>
      </c>
      <c r="F55" t="s">
        <v>23</v>
      </c>
      <c r="G55" t="s">
        <v>48</v>
      </c>
      <c r="H55" t="s">
        <v>18</v>
      </c>
      <c r="I55">
        <v>5</v>
      </c>
      <c r="J55">
        <v>176.03</v>
      </c>
      <c r="K55">
        <v>880.15</v>
      </c>
    </row>
    <row r="56" spans="1:11" x14ac:dyDescent="0.35">
      <c r="A56" t="s">
        <v>122</v>
      </c>
      <c r="B56" t="s">
        <v>31</v>
      </c>
      <c r="C56" t="s">
        <v>66</v>
      </c>
      <c r="D56" t="s">
        <v>67</v>
      </c>
      <c r="E56" t="s">
        <v>44</v>
      </c>
      <c r="F56" t="s">
        <v>23</v>
      </c>
      <c r="G56" t="s">
        <v>45</v>
      </c>
      <c r="H56" t="s">
        <v>18</v>
      </c>
      <c r="I56">
        <v>1</v>
      </c>
      <c r="J56">
        <v>37.31</v>
      </c>
      <c r="K56">
        <v>37.31</v>
      </c>
    </row>
    <row r="57" spans="1:11" x14ac:dyDescent="0.35">
      <c r="A57" t="s">
        <v>123</v>
      </c>
      <c r="B57" t="s">
        <v>124</v>
      </c>
      <c r="C57" t="s">
        <v>27</v>
      </c>
      <c r="D57" t="s">
        <v>14</v>
      </c>
      <c r="E57" t="s">
        <v>15</v>
      </c>
      <c r="F57" t="s">
        <v>40</v>
      </c>
      <c r="G57" t="s">
        <v>24</v>
      </c>
      <c r="H57" t="s">
        <v>29</v>
      </c>
      <c r="I57">
        <v>10</v>
      </c>
      <c r="J57">
        <v>22.51</v>
      </c>
      <c r="K57">
        <v>225.1</v>
      </c>
    </row>
    <row r="58" spans="1:11" x14ac:dyDescent="0.35">
      <c r="A58" t="s">
        <v>125</v>
      </c>
      <c r="B58" t="s">
        <v>71</v>
      </c>
      <c r="C58" t="s">
        <v>32</v>
      </c>
      <c r="D58" t="s">
        <v>33</v>
      </c>
      <c r="E58" t="s">
        <v>39</v>
      </c>
      <c r="F58" t="s">
        <v>40</v>
      </c>
      <c r="G58" t="s">
        <v>35</v>
      </c>
      <c r="H58" t="s">
        <v>29</v>
      </c>
      <c r="I58">
        <v>9</v>
      </c>
      <c r="J58">
        <v>3.57</v>
      </c>
      <c r="K58">
        <v>32.130000000000003</v>
      </c>
    </row>
    <row r="59" spans="1:11" x14ac:dyDescent="0.35">
      <c r="A59" t="s">
        <v>126</v>
      </c>
      <c r="B59" t="s">
        <v>52</v>
      </c>
      <c r="C59" t="s">
        <v>21</v>
      </c>
      <c r="D59" t="s">
        <v>22</v>
      </c>
      <c r="E59" t="s">
        <v>39</v>
      </c>
      <c r="F59" t="s">
        <v>28</v>
      </c>
      <c r="G59" t="s">
        <v>17</v>
      </c>
      <c r="H59" t="s">
        <v>29</v>
      </c>
      <c r="I59">
        <v>1</v>
      </c>
      <c r="J59">
        <v>298.38</v>
      </c>
      <c r="K59">
        <v>298.38</v>
      </c>
    </row>
    <row r="60" spans="1:11" x14ac:dyDescent="0.35">
      <c r="A60" t="s">
        <v>127</v>
      </c>
      <c r="B60" t="s">
        <v>128</v>
      </c>
      <c r="C60" t="s">
        <v>66</v>
      </c>
      <c r="D60" t="s">
        <v>67</v>
      </c>
      <c r="E60" t="s">
        <v>15</v>
      </c>
      <c r="F60" t="s">
        <v>47</v>
      </c>
      <c r="G60" t="s">
        <v>48</v>
      </c>
      <c r="H60" t="s">
        <v>18</v>
      </c>
      <c r="I60">
        <v>9</v>
      </c>
      <c r="J60">
        <v>36.1</v>
      </c>
      <c r="K60">
        <v>324.89999999999998</v>
      </c>
    </row>
    <row r="61" spans="1:11" x14ac:dyDescent="0.35">
      <c r="A61" t="s">
        <v>129</v>
      </c>
      <c r="B61" t="s">
        <v>102</v>
      </c>
      <c r="C61" t="s">
        <v>13</v>
      </c>
      <c r="D61" t="s">
        <v>14</v>
      </c>
      <c r="E61" t="s">
        <v>15</v>
      </c>
      <c r="F61" t="s">
        <v>40</v>
      </c>
      <c r="G61" t="s">
        <v>17</v>
      </c>
      <c r="H61" t="s">
        <v>18</v>
      </c>
      <c r="I61">
        <v>4</v>
      </c>
      <c r="J61">
        <v>169.34</v>
      </c>
      <c r="K61">
        <v>677.36</v>
      </c>
    </row>
    <row r="62" spans="1:11" x14ac:dyDescent="0.35">
      <c r="A62" t="s">
        <v>130</v>
      </c>
      <c r="B62" t="s">
        <v>111</v>
      </c>
      <c r="C62" t="s">
        <v>38</v>
      </c>
      <c r="D62" t="s">
        <v>14</v>
      </c>
      <c r="E62" t="s">
        <v>15</v>
      </c>
      <c r="F62" t="s">
        <v>40</v>
      </c>
      <c r="G62" t="s">
        <v>24</v>
      </c>
      <c r="H62" t="s">
        <v>18</v>
      </c>
      <c r="I62">
        <v>8</v>
      </c>
      <c r="J62">
        <v>36.21</v>
      </c>
      <c r="K62">
        <v>289.68</v>
      </c>
    </row>
    <row r="63" spans="1:11" x14ac:dyDescent="0.35">
      <c r="A63" t="s">
        <v>131</v>
      </c>
      <c r="B63" t="s">
        <v>50</v>
      </c>
      <c r="C63" t="s">
        <v>66</v>
      </c>
      <c r="D63" t="s">
        <v>67</v>
      </c>
      <c r="E63" t="s">
        <v>44</v>
      </c>
      <c r="F63" t="s">
        <v>40</v>
      </c>
      <c r="G63" t="s">
        <v>48</v>
      </c>
      <c r="H63" t="s">
        <v>18</v>
      </c>
      <c r="I63">
        <v>8</v>
      </c>
      <c r="J63">
        <v>42.52</v>
      </c>
      <c r="K63">
        <v>340.16</v>
      </c>
    </row>
    <row r="64" spans="1:11" x14ac:dyDescent="0.35">
      <c r="A64" t="s">
        <v>132</v>
      </c>
      <c r="B64" t="s">
        <v>50</v>
      </c>
      <c r="C64" t="s">
        <v>43</v>
      </c>
      <c r="D64" t="s">
        <v>33</v>
      </c>
      <c r="E64" t="s">
        <v>15</v>
      </c>
      <c r="F64" t="s">
        <v>28</v>
      </c>
      <c r="G64" t="s">
        <v>74</v>
      </c>
      <c r="H64" t="s">
        <v>18</v>
      </c>
      <c r="I64">
        <v>9</v>
      </c>
      <c r="J64">
        <v>4.58</v>
      </c>
      <c r="K64">
        <v>41.22</v>
      </c>
    </row>
    <row r="65" spans="1:11" x14ac:dyDescent="0.35">
      <c r="A65" t="s">
        <v>133</v>
      </c>
      <c r="B65" t="s">
        <v>69</v>
      </c>
      <c r="C65" t="s">
        <v>27</v>
      </c>
      <c r="D65" t="s">
        <v>14</v>
      </c>
      <c r="E65" t="s">
        <v>63</v>
      </c>
      <c r="F65" t="s">
        <v>23</v>
      </c>
      <c r="G65" t="s">
        <v>48</v>
      </c>
      <c r="H65" t="s">
        <v>18</v>
      </c>
      <c r="I65">
        <v>9</v>
      </c>
      <c r="J65">
        <v>19.73</v>
      </c>
      <c r="K65">
        <v>177.57</v>
      </c>
    </row>
    <row r="66" spans="1:11" x14ac:dyDescent="0.35">
      <c r="A66" t="s">
        <v>134</v>
      </c>
      <c r="B66" t="s">
        <v>37</v>
      </c>
      <c r="C66" t="s">
        <v>38</v>
      </c>
      <c r="D66" t="s">
        <v>14</v>
      </c>
      <c r="E66" t="s">
        <v>15</v>
      </c>
      <c r="F66" t="s">
        <v>23</v>
      </c>
      <c r="G66" t="s">
        <v>45</v>
      </c>
      <c r="H66" t="s">
        <v>18</v>
      </c>
      <c r="I66">
        <v>10</v>
      </c>
      <c r="J66">
        <v>37.32</v>
      </c>
      <c r="K66">
        <v>373.2</v>
      </c>
    </row>
    <row r="67" spans="1:11" x14ac:dyDescent="0.35">
      <c r="A67" t="s">
        <v>135</v>
      </c>
      <c r="B67" t="s">
        <v>111</v>
      </c>
      <c r="C67" t="s">
        <v>38</v>
      </c>
      <c r="D67" t="s">
        <v>14</v>
      </c>
      <c r="E67" t="s">
        <v>15</v>
      </c>
      <c r="F67" t="s">
        <v>16</v>
      </c>
      <c r="G67" t="s">
        <v>35</v>
      </c>
      <c r="H67" t="s">
        <v>29</v>
      </c>
      <c r="I67">
        <v>2</v>
      </c>
      <c r="J67">
        <v>33.61</v>
      </c>
      <c r="K67">
        <v>67.22</v>
      </c>
    </row>
    <row r="68" spans="1:11" x14ac:dyDescent="0.35">
      <c r="A68" t="s">
        <v>136</v>
      </c>
      <c r="B68" t="s">
        <v>31</v>
      </c>
      <c r="C68" t="s">
        <v>13</v>
      </c>
      <c r="D68" t="s">
        <v>14</v>
      </c>
      <c r="E68" t="s">
        <v>15</v>
      </c>
      <c r="F68" t="s">
        <v>28</v>
      </c>
      <c r="G68" t="s">
        <v>48</v>
      </c>
      <c r="H68" t="s">
        <v>18</v>
      </c>
      <c r="I68">
        <v>6</v>
      </c>
      <c r="J68">
        <v>144.82</v>
      </c>
      <c r="K68">
        <v>868.92</v>
      </c>
    </row>
    <row r="69" spans="1:11" x14ac:dyDescent="0.35">
      <c r="A69" t="s">
        <v>137</v>
      </c>
      <c r="B69" t="s">
        <v>118</v>
      </c>
      <c r="C69" t="s">
        <v>61</v>
      </c>
      <c r="D69" t="s">
        <v>14</v>
      </c>
      <c r="E69" t="s">
        <v>39</v>
      </c>
      <c r="F69" t="s">
        <v>28</v>
      </c>
      <c r="G69" t="s">
        <v>17</v>
      </c>
      <c r="H69" t="s">
        <v>29</v>
      </c>
      <c r="I69">
        <v>3</v>
      </c>
      <c r="J69">
        <v>166.95</v>
      </c>
      <c r="K69">
        <v>500.85</v>
      </c>
    </row>
    <row r="70" spans="1:11" x14ac:dyDescent="0.35">
      <c r="A70" t="s">
        <v>138</v>
      </c>
      <c r="B70" t="s">
        <v>102</v>
      </c>
      <c r="C70" t="s">
        <v>66</v>
      </c>
      <c r="D70" t="s">
        <v>67</v>
      </c>
      <c r="E70" t="s">
        <v>63</v>
      </c>
      <c r="F70" t="s">
        <v>23</v>
      </c>
      <c r="G70" t="s">
        <v>24</v>
      </c>
      <c r="H70" t="s">
        <v>18</v>
      </c>
      <c r="I70">
        <v>1</v>
      </c>
      <c r="J70">
        <v>37.21</v>
      </c>
      <c r="K70">
        <v>37.21</v>
      </c>
    </row>
    <row r="71" spans="1:11" x14ac:dyDescent="0.35">
      <c r="A71" t="s">
        <v>139</v>
      </c>
      <c r="B71" t="s">
        <v>65</v>
      </c>
      <c r="C71" t="s">
        <v>21</v>
      </c>
      <c r="D71" t="s">
        <v>22</v>
      </c>
      <c r="E71" t="s">
        <v>44</v>
      </c>
      <c r="F71" t="s">
        <v>28</v>
      </c>
      <c r="G71" t="s">
        <v>24</v>
      </c>
      <c r="H71" t="s">
        <v>18</v>
      </c>
      <c r="I71">
        <v>7</v>
      </c>
      <c r="J71">
        <v>260.10000000000002</v>
      </c>
      <c r="K71">
        <v>1820.7</v>
      </c>
    </row>
    <row r="72" spans="1:11" x14ac:dyDescent="0.35">
      <c r="A72" t="s">
        <v>140</v>
      </c>
      <c r="B72" t="s">
        <v>20</v>
      </c>
      <c r="C72" t="s">
        <v>27</v>
      </c>
      <c r="D72" t="s">
        <v>14</v>
      </c>
      <c r="E72" t="s">
        <v>39</v>
      </c>
      <c r="F72" t="s">
        <v>23</v>
      </c>
      <c r="G72" t="s">
        <v>35</v>
      </c>
      <c r="H72" t="s">
        <v>29</v>
      </c>
      <c r="I72">
        <v>1</v>
      </c>
      <c r="J72">
        <v>23.67</v>
      </c>
      <c r="K72">
        <v>23.67</v>
      </c>
    </row>
    <row r="73" spans="1:11" x14ac:dyDescent="0.35">
      <c r="A73" t="s">
        <v>141</v>
      </c>
      <c r="B73" t="s">
        <v>90</v>
      </c>
      <c r="C73" t="s">
        <v>55</v>
      </c>
      <c r="D73" t="s">
        <v>14</v>
      </c>
      <c r="E73" t="s">
        <v>63</v>
      </c>
      <c r="F73" t="s">
        <v>28</v>
      </c>
      <c r="G73" t="s">
        <v>35</v>
      </c>
      <c r="H73" t="s">
        <v>18</v>
      </c>
      <c r="I73">
        <v>5</v>
      </c>
      <c r="J73">
        <v>707.05</v>
      </c>
      <c r="K73">
        <v>3535.25</v>
      </c>
    </row>
    <row r="74" spans="1:11" x14ac:dyDescent="0.35">
      <c r="A74" t="s">
        <v>142</v>
      </c>
      <c r="B74" t="s">
        <v>54</v>
      </c>
      <c r="C74" t="s">
        <v>27</v>
      </c>
      <c r="D74" t="s">
        <v>14</v>
      </c>
      <c r="E74" t="s">
        <v>63</v>
      </c>
      <c r="F74" t="s">
        <v>47</v>
      </c>
      <c r="G74" t="s">
        <v>24</v>
      </c>
      <c r="H74" t="s">
        <v>18</v>
      </c>
      <c r="I74">
        <v>2</v>
      </c>
      <c r="J74">
        <v>22.17</v>
      </c>
      <c r="K74">
        <v>44.34</v>
      </c>
    </row>
    <row r="75" spans="1:11" x14ac:dyDescent="0.35">
      <c r="A75" t="s">
        <v>143</v>
      </c>
      <c r="B75" t="s">
        <v>57</v>
      </c>
      <c r="C75" t="s">
        <v>32</v>
      </c>
      <c r="D75" t="s">
        <v>33</v>
      </c>
      <c r="E75" t="s">
        <v>15</v>
      </c>
      <c r="F75" t="s">
        <v>34</v>
      </c>
      <c r="G75" t="s">
        <v>48</v>
      </c>
      <c r="H75" t="s">
        <v>29</v>
      </c>
      <c r="I75">
        <v>6</v>
      </c>
      <c r="J75">
        <v>3.07</v>
      </c>
      <c r="K75">
        <v>18.420000000000002</v>
      </c>
    </row>
    <row r="76" spans="1:11" x14ac:dyDescent="0.35">
      <c r="A76" t="s">
        <v>144</v>
      </c>
      <c r="B76" t="s">
        <v>90</v>
      </c>
      <c r="C76" t="s">
        <v>32</v>
      </c>
      <c r="D76" t="s">
        <v>33</v>
      </c>
      <c r="E76" t="s">
        <v>63</v>
      </c>
      <c r="F76" t="s">
        <v>28</v>
      </c>
      <c r="G76" t="s">
        <v>48</v>
      </c>
      <c r="H76" t="s">
        <v>18</v>
      </c>
      <c r="I76">
        <v>2</v>
      </c>
      <c r="J76">
        <v>3.24</v>
      </c>
      <c r="K76">
        <v>6.48</v>
      </c>
    </row>
    <row r="77" spans="1:11" x14ac:dyDescent="0.35">
      <c r="A77" t="s">
        <v>145</v>
      </c>
      <c r="B77" t="s">
        <v>54</v>
      </c>
      <c r="C77" t="s">
        <v>61</v>
      </c>
      <c r="D77" t="s">
        <v>14</v>
      </c>
      <c r="E77" t="s">
        <v>63</v>
      </c>
      <c r="F77" t="s">
        <v>47</v>
      </c>
      <c r="G77" t="s">
        <v>48</v>
      </c>
      <c r="H77" t="s">
        <v>18</v>
      </c>
      <c r="I77">
        <v>8</v>
      </c>
      <c r="J77">
        <v>198.01</v>
      </c>
      <c r="K77">
        <v>1584.08</v>
      </c>
    </row>
    <row r="78" spans="1:11" x14ac:dyDescent="0.35">
      <c r="A78" t="s">
        <v>146</v>
      </c>
      <c r="B78" t="s">
        <v>147</v>
      </c>
      <c r="C78" t="s">
        <v>21</v>
      </c>
      <c r="D78" t="s">
        <v>22</v>
      </c>
      <c r="E78" t="s">
        <v>44</v>
      </c>
      <c r="F78" t="s">
        <v>47</v>
      </c>
      <c r="G78" t="s">
        <v>17</v>
      </c>
      <c r="H78" t="s">
        <v>29</v>
      </c>
      <c r="I78">
        <v>5</v>
      </c>
      <c r="J78">
        <v>253.65</v>
      </c>
      <c r="K78">
        <v>1268.25</v>
      </c>
    </row>
    <row r="79" spans="1:11" x14ac:dyDescent="0.35">
      <c r="A79" t="s">
        <v>148</v>
      </c>
      <c r="B79" t="s">
        <v>147</v>
      </c>
      <c r="C79" t="s">
        <v>43</v>
      </c>
      <c r="D79" t="s">
        <v>33</v>
      </c>
      <c r="E79" t="s">
        <v>39</v>
      </c>
      <c r="F79" t="s">
        <v>40</v>
      </c>
      <c r="G79" t="s">
        <v>24</v>
      </c>
      <c r="H79" t="s">
        <v>29</v>
      </c>
      <c r="I79">
        <v>8</v>
      </c>
      <c r="J79">
        <v>5.76</v>
      </c>
      <c r="K79">
        <v>46.08</v>
      </c>
    </row>
    <row r="80" spans="1:11" x14ac:dyDescent="0.35">
      <c r="A80" t="s">
        <v>149</v>
      </c>
      <c r="B80" t="s">
        <v>60</v>
      </c>
      <c r="C80" t="s">
        <v>43</v>
      </c>
      <c r="D80" t="s">
        <v>33</v>
      </c>
      <c r="E80" t="s">
        <v>44</v>
      </c>
      <c r="F80" t="s">
        <v>47</v>
      </c>
      <c r="G80" t="s">
        <v>48</v>
      </c>
      <c r="H80" t="s">
        <v>29</v>
      </c>
      <c r="I80">
        <v>3</v>
      </c>
      <c r="J80">
        <v>5.26</v>
      </c>
      <c r="K80">
        <v>15.78</v>
      </c>
    </row>
    <row r="81" spans="1:11" x14ac:dyDescent="0.35">
      <c r="A81" t="s">
        <v>150</v>
      </c>
      <c r="B81" t="s">
        <v>37</v>
      </c>
      <c r="C81" t="s">
        <v>55</v>
      </c>
      <c r="D81" t="s">
        <v>14</v>
      </c>
      <c r="E81" t="s">
        <v>39</v>
      </c>
      <c r="F81" t="s">
        <v>23</v>
      </c>
      <c r="G81" t="s">
        <v>48</v>
      </c>
      <c r="H81" t="s">
        <v>18</v>
      </c>
      <c r="I81">
        <v>7</v>
      </c>
      <c r="J81">
        <v>644.57000000000005</v>
      </c>
      <c r="K81">
        <v>4511.99</v>
      </c>
    </row>
    <row r="82" spans="1:11" x14ac:dyDescent="0.35">
      <c r="A82" t="s">
        <v>151</v>
      </c>
      <c r="B82" t="s">
        <v>88</v>
      </c>
      <c r="C82" t="s">
        <v>58</v>
      </c>
      <c r="D82" t="s">
        <v>22</v>
      </c>
      <c r="E82" t="s">
        <v>39</v>
      </c>
      <c r="F82" t="s">
        <v>16</v>
      </c>
      <c r="G82" t="s">
        <v>17</v>
      </c>
      <c r="H82" t="s">
        <v>18</v>
      </c>
      <c r="I82">
        <v>7</v>
      </c>
      <c r="J82">
        <v>142.66999999999999</v>
      </c>
      <c r="K82">
        <v>998.69</v>
      </c>
    </row>
    <row r="83" spans="1:11" x14ac:dyDescent="0.35">
      <c r="A83" t="s">
        <v>152</v>
      </c>
      <c r="B83" t="s">
        <v>69</v>
      </c>
      <c r="C83" t="s">
        <v>58</v>
      </c>
      <c r="D83" t="s">
        <v>22</v>
      </c>
      <c r="E83" t="s">
        <v>15</v>
      </c>
      <c r="F83" t="s">
        <v>23</v>
      </c>
      <c r="G83" t="s">
        <v>74</v>
      </c>
      <c r="H83" t="s">
        <v>18</v>
      </c>
      <c r="I83">
        <v>10</v>
      </c>
      <c r="J83">
        <v>137.68</v>
      </c>
      <c r="K83">
        <v>1376.8</v>
      </c>
    </row>
    <row r="84" spans="1:11" x14ac:dyDescent="0.35">
      <c r="A84" t="s">
        <v>153</v>
      </c>
      <c r="B84" t="s">
        <v>31</v>
      </c>
      <c r="C84" t="s">
        <v>61</v>
      </c>
      <c r="D84" t="s">
        <v>14</v>
      </c>
      <c r="E84" t="s">
        <v>15</v>
      </c>
      <c r="F84" t="s">
        <v>40</v>
      </c>
      <c r="G84" t="s">
        <v>35</v>
      </c>
      <c r="H84" t="s">
        <v>29</v>
      </c>
      <c r="I84">
        <v>9</v>
      </c>
      <c r="J84">
        <v>202.47</v>
      </c>
      <c r="K84">
        <v>1822.23</v>
      </c>
    </row>
    <row r="85" spans="1:11" x14ac:dyDescent="0.35">
      <c r="A85" t="s">
        <v>154</v>
      </c>
      <c r="B85" t="s">
        <v>31</v>
      </c>
      <c r="C85" t="s">
        <v>61</v>
      </c>
      <c r="D85" t="s">
        <v>14</v>
      </c>
      <c r="E85" t="s">
        <v>39</v>
      </c>
      <c r="F85" t="s">
        <v>28</v>
      </c>
      <c r="G85" t="s">
        <v>17</v>
      </c>
      <c r="H85" t="s">
        <v>18</v>
      </c>
      <c r="I85">
        <v>3</v>
      </c>
      <c r="J85">
        <v>199.81</v>
      </c>
      <c r="K85">
        <v>599.42999999999995</v>
      </c>
    </row>
    <row r="86" spans="1:11" x14ac:dyDescent="0.35">
      <c r="A86" t="s">
        <v>155</v>
      </c>
      <c r="B86" t="s">
        <v>90</v>
      </c>
      <c r="C86" t="s">
        <v>32</v>
      </c>
      <c r="D86" t="s">
        <v>33</v>
      </c>
      <c r="E86" t="s">
        <v>44</v>
      </c>
      <c r="F86" t="s">
        <v>47</v>
      </c>
      <c r="G86" t="s">
        <v>24</v>
      </c>
      <c r="H86" t="s">
        <v>29</v>
      </c>
      <c r="I86">
        <v>2</v>
      </c>
      <c r="J86">
        <v>3.27</v>
      </c>
      <c r="K86">
        <v>6.54</v>
      </c>
    </row>
    <row r="87" spans="1:11" x14ac:dyDescent="0.35">
      <c r="A87" t="s">
        <v>156</v>
      </c>
      <c r="B87" t="s">
        <v>111</v>
      </c>
      <c r="C87" t="s">
        <v>55</v>
      </c>
      <c r="D87" t="s">
        <v>14</v>
      </c>
      <c r="E87" t="s">
        <v>63</v>
      </c>
      <c r="F87" t="s">
        <v>16</v>
      </c>
      <c r="G87" t="s">
        <v>24</v>
      </c>
      <c r="H87" t="s">
        <v>18</v>
      </c>
      <c r="I87">
        <v>6</v>
      </c>
      <c r="J87">
        <v>799.35</v>
      </c>
      <c r="K87">
        <v>4796.1000000000004</v>
      </c>
    </row>
    <row r="88" spans="1:11" x14ac:dyDescent="0.35">
      <c r="A88" t="s">
        <v>157</v>
      </c>
      <c r="B88" t="s">
        <v>88</v>
      </c>
      <c r="C88" t="s">
        <v>21</v>
      </c>
      <c r="D88" t="s">
        <v>22</v>
      </c>
      <c r="E88" t="s">
        <v>39</v>
      </c>
      <c r="F88" t="s">
        <v>34</v>
      </c>
      <c r="G88" t="s">
        <v>24</v>
      </c>
      <c r="H88" t="s">
        <v>29</v>
      </c>
      <c r="I88">
        <v>8</v>
      </c>
      <c r="J88">
        <v>289.05</v>
      </c>
      <c r="K88">
        <v>2312.4</v>
      </c>
    </row>
    <row r="89" spans="1:11" x14ac:dyDescent="0.35">
      <c r="A89" t="s">
        <v>158</v>
      </c>
      <c r="B89" t="s">
        <v>118</v>
      </c>
      <c r="C89" t="s">
        <v>58</v>
      </c>
      <c r="D89" t="s">
        <v>22</v>
      </c>
      <c r="E89" t="s">
        <v>63</v>
      </c>
      <c r="F89" t="s">
        <v>28</v>
      </c>
      <c r="G89" t="s">
        <v>24</v>
      </c>
      <c r="H89" t="s">
        <v>29</v>
      </c>
      <c r="I89">
        <v>5</v>
      </c>
      <c r="J89">
        <v>116.65</v>
      </c>
      <c r="K89">
        <v>583.25</v>
      </c>
    </row>
    <row r="90" spans="1:11" x14ac:dyDescent="0.35">
      <c r="A90" t="s">
        <v>159</v>
      </c>
      <c r="B90" t="s">
        <v>77</v>
      </c>
      <c r="C90" t="s">
        <v>32</v>
      </c>
      <c r="D90" t="s">
        <v>33</v>
      </c>
      <c r="E90" t="s">
        <v>15</v>
      </c>
      <c r="F90" t="s">
        <v>34</v>
      </c>
      <c r="G90" t="s">
        <v>35</v>
      </c>
      <c r="H90" t="s">
        <v>18</v>
      </c>
      <c r="I90">
        <v>6</v>
      </c>
      <c r="J90">
        <v>3.23</v>
      </c>
      <c r="K90">
        <v>19.38</v>
      </c>
    </row>
    <row r="91" spans="1:11" x14ac:dyDescent="0.35">
      <c r="A91" t="s">
        <v>160</v>
      </c>
      <c r="B91" t="s">
        <v>111</v>
      </c>
      <c r="C91" t="s">
        <v>55</v>
      </c>
      <c r="D91" t="s">
        <v>14</v>
      </c>
      <c r="E91" t="s">
        <v>15</v>
      </c>
      <c r="F91" t="s">
        <v>40</v>
      </c>
      <c r="G91" t="s">
        <v>74</v>
      </c>
      <c r="H91" t="s">
        <v>18</v>
      </c>
      <c r="I91">
        <v>2</v>
      </c>
      <c r="J91">
        <v>689.98</v>
      </c>
      <c r="K91">
        <v>1379.96</v>
      </c>
    </row>
    <row r="92" spans="1:11" x14ac:dyDescent="0.35">
      <c r="A92" t="s">
        <v>161</v>
      </c>
      <c r="B92" t="s">
        <v>90</v>
      </c>
      <c r="C92" t="s">
        <v>66</v>
      </c>
      <c r="D92" t="s">
        <v>67</v>
      </c>
      <c r="E92" t="s">
        <v>39</v>
      </c>
      <c r="F92" t="s">
        <v>34</v>
      </c>
      <c r="G92" t="s">
        <v>74</v>
      </c>
      <c r="H92" t="s">
        <v>29</v>
      </c>
      <c r="I92">
        <v>9</v>
      </c>
      <c r="J92">
        <v>39.700000000000003</v>
      </c>
      <c r="K92">
        <v>357.3</v>
      </c>
    </row>
    <row r="93" spans="1:11" x14ac:dyDescent="0.35">
      <c r="A93" t="s">
        <v>162</v>
      </c>
      <c r="B93" t="s">
        <v>50</v>
      </c>
      <c r="C93" t="s">
        <v>58</v>
      </c>
      <c r="D93" t="s">
        <v>22</v>
      </c>
      <c r="E93" t="s">
        <v>39</v>
      </c>
      <c r="F93" t="s">
        <v>16</v>
      </c>
      <c r="G93" t="s">
        <v>35</v>
      </c>
      <c r="H93" t="s">
        <v>18</v>
      </c>
      <c r="I93">
        <v>10</v>
      </c>
      <c r="J93">
        <v>127.4</v>
      </c>
      <c r="K93">
        <v>1274</v>
      </c>
    </row>
    <row r="94" spans="1:11" x14ac:dyDescent="0.35">
      <c r="A94" t="s">
        <v>163</v>
      </c>
      <c r="B94" t="s">
        <v>90</v>
      </c>
      <c r="C94" t="s">
        <v>32</v>
      </c>
      <c r="D94" t="s">
        <v>33</v>
      </c>
      <c r="E94" t="s">
        <v>39</v>
      </c>
      <c r="F94" t="s">
        <v>16</v>
      </c>
      <c r="G94" t="s">
        <v>17</v>
      </c>
      <c r="H94" t="s">
        <v>18</v>
      </c>
      <c r="I94">
        <v>10</v>
      </c>
      <c r="J94">
        <v>3.11</v>
      </c>
      <c r="K94">
        <v>31.1</v>
      </c>
    </row>
    <row r="95" spans="1:11" x14ac:dyDescent="0.35">
      <c r="A95" t="s">
        <v>164</v>
      </c>
      <c r="B95" t="s">
        <v>50</v>
      </c>
      <c r="C95" t="s">
        <v>27</v>
      </c>
      <c r="D95" t="s">
        <v>14</v>
      </c>
      <c r="E95" t="s">
        <v>15</v>
      </c>
      <c r="F95" t="s">
        <v>16</v>
      </c>
      <c r="G95" t="s">
        <v>74</v>
      </c>
      <c r="H95" t="s">
        <v>29</v>
      </c>
      <c r="I95">
        <v>10</v>
      </c>
      <c r="J95">
        <v>22.97</v>
      </c>
      <c r="K95">
        <v>229.7</v>
      </c>
    </row>
    <row r="96" spans="1:11" x14ac:dyDescent="0.35">
      <c r="A96" t="s">
        <v>165</v>
      </c>
      <c r="B96" t="s">
        <v>77</v>
      </c>
      <c r="C96" t="s">
        <v>55</v>
      </c>
      <c r="D96" t="s">
        <v>14</v>
      </c>
      <c r="E96" t="s">
        <v>15</v>
      </c>
      <c r="F96" t="s">
        <v>40</v>
      </c>
      <c r="G96" t="s">
        <v>45</v>
      </c>
      <c r="H96" t="s">
        <v>18</v>
      </c>
      <c r="I96">
        <v>10</v>
      </c>
      <c r="J96">
        <v>730.98</v>
      </c>
      <c r="K96">
        <v>7309.8</v>
      </c>
    </row>
    <row r="97" spans="1:11" x14ac:dyDescent="0.35">
      <c r="A97" t="s">
        <v>166</v>
      </c>
      <c r="B97" t="s">
        <v>26</v>
      </c>
      <c r="C97" t="s">
        <v>13</v>
      </c>
      <c r="D97" t="s">
        <v>14</v>
      </c>
      <c r="E97" t="s">
        <v>44</v>
      </c>
      <c r="F97" t="s">
        <v>34</v>
      </c>
      <c r="G97" t="s">
        <v>17</v>
      </c>
      <c r="H97" t="s">
        <v>18</v>
      </c>
      <c r="I97">
        <v>5</v>
      </c>
      <c r="J97">
        <v>164.26</v>
      </c>
      <c r="K97">
        <v>821.3</v>
      </c>
    </row>
    <row r="98" spans="1:11" x14ac:dyDescent="0.35">
      <c r="A98" t="s">
        <v>167</v>
      </c>
      <c r="B98" t="s">
        <v>88</v>
      </c>
      <c r="C98" t="s">
        <v>21</v>
      </c>
      <c r="D98" t="s">
        <v>22</v>
      </c>
      <c r="E98" t="s">
        <v>39</v>
      </c>
      <c r="F98" t="s">
        <v>47</v>
      </c>
      <c r="G98" t="s">
        <v>17</v>
      </c>
      <c r="H98" t="s">
        <v>18</v>
      </c>
      <c r="I98">
        <v>8</v>
      </c>
      <c r="J98">
        <v>239.07</v>
      </c>
      <c r="K98">
        <v>1912.56</v>
      </c>
    </row>
    <row r="99" spans="1:11" x14ac:dyDescent="0.35">
      <c r="A99" t="s">
        <v>168</v>
      </c>
      <c r="B99" t="s">
        <v>12</v>
      </c>
      <c r="C99" t="s">
        <v>32</v>
      </c>
      <c r="D99" t="s">
        <v>33</v>
      </c>
      <c r="E99" t="s">
        <v>39</v>
      </c>
      <c r="F99" t="s">
        <v>34</v>
      </c>
      <c r="G99" t="s">
        <v>45</v>
      </c>
      <c r="H99" t="s">
        <v>29</v>
      </c>
      <c r="I99">
        <v>4</v>
      </c>
      <c r="J99">
        <v>3.36</v>
      </c>
      <c r="K99">
        <v>13.44</v>
      </c>
    </row>
    <row r="100" spans="1:11" x14ac:dyDescent="0.35">
      <c r="A100" t="s">
        <v>169</v>
      </c>
      <c r="B100" t="s">
        <v>88</v>
      </c>
      <c r="C100" t="s">
        <v>38</v>
      </c>
      <c r="D100" t="s">
        <v>14</v>
      </c>
      <c r="E100" t="s">
        <v>63</v>
      </c>
      <c r="F100" t="s">
        <v>16</v>
      </c>
      <c r="G100" t="s">
        <v>45</v>
      </c>
      <c r="H100" t="s">
        <v>18</v>
      </c>
      <c r="I100">
        <v>8</v>
      </c>
      <c r="J100">
        <v>33.35</v>
      </c>
      <c r="K100">
        <v>266.8</v>
      </c>
    </row>
    <row r="101" spans="1:11" x14ac:dyDescent="0.35">
      <c r="A101" t="s">
        <v>170</v>
      </c>
      <c r="B101" t="s">
        <v>107</v>
      </c>
      <c r="C101" t="s">
        <v>32</v>
      </c>
      <c r="D101" t="s">
        <v>33</v>
      </c>
      <c r="E101" t="s">
        <v>39</v>
      </c>
      <c r="F101" t="s">
        <v>28</v>
      </c>
      <c r="G101" t="s">
        <v>48</v>
      </c>
      <c r="H101" t="s">
        <v>18</v>
      </c>
      <c r="I101">
        <v>2</v>
      </c>
      <c r="J101">
        <v>3.34</v>
      </c>
      <c r="K101">
        <v>6.68</v>
      </c>
    </row>
    <row r="102" spans="1:11" x14ac:dyDescent="0.35">
      <c r="A102" t="s">
        <v>171</v>
      </c>
      <c r="B102" t="s">
        <v>20</v>
      </c>
      <c r="C102" t="s">
        <v>66</v>
      </c>
      <c r="D102" t="s">
        <v>67</v>
      </c>
      <c r="E102" t="s">
        <v>63</v>
      </c>
      <c r="F102" t="s">
        <v>16</v>
      </c>
      <c r="G102" t="s">
        <v>48</v>
      </c>
      <c r="H102" t="s">
        <v>18</v>
      </c>
      <c r="I102">
        <v>4</v>
      </c>
      <c r="J102">
        <v>38.65</v>
      </c>
      <c r="K102">
        <v>154.6</v>
      </c>
    </row>
    <row r="103" spans="1:11" x14ac:dyDescent="0.35">
      <c r="A103" t="s">
        <v>172</v>
      </c>
      <c r="B103" t="s">
        <v>71</v>
      </c>
      <c r="C103" t="s">
        <v>21</v>
      </c>
      <c r="D103" t="s">
        <v>22</v>
      </c>
      <c r="E103" t="s">
        <v>15</v>
      </c>
      <c r="F103" t="s">
        <v>34</v>
      </c>
      <c r="G103" t="s">
        <v>35</v>
      </c>
      <c r="H103" t="s">
        <v>18</v>
      </c>
      <c r="I103">
        <v>4</v>
      </c>
      <c r="J103">
        <v>268.02999999999997</v>
      </c>
      <c r="K103">
        <v>1072.1199999999999</v>
      </c>
    </row>
    <row r="104" spans="1:11" x14ac:dyDescent="0.35">
      <c r="A104" t="s">
        <v>173</v>
      </c>
      <c r="B104" t="s">
        <v>71</v>
      </c>
      <c r="C104" t="s">
        <v>66</v>
      </c>
      <c r="D104" t="s">
        <v>67</v>
      </c>
      <c r="E104" t="s">
        <v>63</v>
      </c>
      <c r="F104" t="s">
        <v>28</v>
      </c>
      <c r="G104" t="s">
        <v>17</v>
      </c>
      <c r="H104" t="s">
        <v>29</v>
      </c>
      <c r="I104">
        <v>8</v>
      </c>
      <c r="J104">
        <v>37.86</v>
      </c>
      <c r="K104">
        <v>302.88</v>
      </c>
    </row>
    <row r="105" spans="1:11" x14ac:dyDescent="0.35">
      <c r="A105" t="s">
        <v>174</v>
      </c>
      <c r="B105" t="s">
        <v>118</v>
      </c>
      <c r="C105" t="s">
        <v>13</v>
      </c>
      <c r="D105" t="s">
        <v>14</v>
      </c>
      <c r="E105" t="s">
        <v>44</v>
      </c>
      <c r="F105" t="s">
        <v>47</v>
      </c>
      <c r="G105" t="s">
        <v>45</v>
      </c>
      <c r="H105" t="s">
        <v>18</v>
      </c>
      <c r="I105">
        <v>9</v>
      </c>
      <c r="J105">
        <v>153.59</v>
      </c>
      <c r="K105">
        <v>1382.31</v>
      </c>
    </row>
    <row r="106" spans="1:11" x14ac:dyDescent="0.35">
      <c r="A106" t="s">
        <v>175</v>
      </c>
      <c r="B106" t="s">
        <v>12</v>
      </c>
      <c r="C106" t="s">
        <v>58</v>
      </c>
      <c r="D106" t="s">
        <v>22</v>
      </c>
      <c r="E106" t="s">
        <v>15</v>
      </c>
      <c r="F106" t="s">
        <v>34</v>
      </c>
      <c r="G106" t="s">
        <v>45</v>
      </c>
      <c r="H106" t="s">
        <v>18</v>
      </c>
      <c r="I106">
        <v>4</v>
      </c>
      <c r="J106">
        <v>118.74</v>
      </c>
      <c r="K106">
        <v>474.96</v>
      </c>
    </row>
    <row r="107" spans="1:11" x14ac:dyDescent="0.35">
      <c r="A107" t="s">
        <v>176</v>
      </c>
      <c r="B107" t="s">
        <v>60</v>
      </c>
      <c r="C107" t="s">
        <v>38</v>
      </c>
      <c r="D107" t="s">
        <v>14</v>
      </c>
      <c r="E107" t="s">
        <v>44</v>
      </c>
      <c r="F107" t="s">
        <v>40</v>
      </c>
      <c r="G107" t="s">
        <v>35</v>
      </c>
      <c r="H107" t="s">
        <v>29</v>
      </c>
      <c r="I107">
        <v>9</v>
      </c>
      <c r="J107">
        <v>36.31</v>
      </c>
      <c r="K107">
        <v>326.79000000000002</v>
      </c>
    </row>
    <row r="108" spans="1:11" x14ac:dyDescent="0.35">
      <c r="A108" t="s">
        <v>177</v>
      </c>
      <c r="B108" t="s">
        <v>118</v>
      </c>
      <c r="C108" t="s">
        <v>32</v>
      </c>
      <c r="D108" t="s">
        <v>33</v>
      </c>
      <c r="E108" t="s">
        <v>39</v>
      </c>
      <c r="F108" t="s">
        <v>34</v>
      </c>
      <c r="G108" t="s">
        <v>17</v>
      </c>
      <c r="H108" t="s">
        <v>18</v>
      </c>
      <c r="I108">
        <v>9</v>
      </c>
      <c r="J108">
        <v>3.49</v>
      </c>
      <c r="K108">
        <v>31.41</v>
      </c>
    </row>
    <row r="109" spans="1:11" x14ac:dyDescent="0.35">
      <c r="A109" t="s">
        <v>178</v>
      </c>
      <c r="B109" t="s">
        <v>107</v>
      </c>
      <c r="C109" t="s">
        <v>61</v>
      </c>
      <c r="D109" t="s">
        <v>14</v>
      </c>
      <c r="E109" t="s">
        <v>44</v>
      </c>
      <c r="F109" t="s">
        <v>23</v>
      </c>
      <c r="G109" t="s">
        <v>74</v>
      </c>
      <c r="H109" t="s">
        <v>18</v>
      </c>
      <c r="I109">
        <v>2</v>
      </c>
      <c r="J109">
        <v>163.96</v>
      </c>
      <c r="K109">
        <v>327.92</v>
      </c>
    </row>
    <row r="110" spans="1:11" x14ac:dyDescent="0.35">
      <c r="A110" t="s">
        <v>179</v>
      </c>
      <c r="B110" t="s">
        <v>20</v>
      </c>
      <c r="C110" t="s">
        <v>43</v>
      </c>
      <c r="D110" t="s">
        <v>33</v>
      </c>
      <c r="E110" t="s">
        <v>44</v>
      </c>
      <c r="F110" t="s">
        <v>34</v>
      </c>
      <c r="G110" t="s">
        <v>35</v>
      </c>
      <c r="H110" t="s">
        <v>29</v>
      </c>
      <c r="I110">
        <v>9</v>
      </c>
      <c r="J110">
        <v>5.58</v>
      </c>
      <c r="K110">
        <v>50.22</v>
      </c>
    </row>
    <row r="111" spans="1:11" x14ac:dyDescent="0.35">
      <c r="A111" t="s">
        <v>180</v>
      </c>
      <c r="B111" t="s">
        <v>65</v>
      </c>
      <c r="C111" t="s">
        <v>13</v>
      </c>
      <c r="D111" t="s">
        <v>14</v>
      </c>
      <c r="E111" t="s">
        <v>44</v>
      </c>
      <c r="F111" t="s">
        <v>16</v>
      </c>
      <c r="G111" t="s">
        <v>48</v>
      </c>
      <c r="H111" t="s">
        <v>29</v>
      </c>
      <c r="I111">
        <v>7</v>
      </c>
      <c r="J111">
        <v>148.75</v>
      </c>
      <c r="K111">
        <v>1041.25</v>
      </c>
    </row>
    <row r="112" spans="1:11" x14ac:dyDescent="0.35">
      <c r="A112" t="s">
        <v>181</v>
      </c>
      <c r="B112" t="s">
        <v>65</v>
      </c>
      <c r="C112" t="s">
        <v>58</v>
      </c>
      <c r="D112" t="s">
        <v>22</v>
      </c>
      <c r="E112" t="s">
        <v>15</v>
      </c>
      <c r="F112" t="s">
        <v>34</v>
      </c>
      <c r="G112" t="s">
        <v>45</v>
      </c>
      <c r="H112" t="s">
        <v>29</v>
      </c>
      <c r="I112">
        <v>1</v>
      </c>
      <c r="J112">
        <v>108.64</v>
      </c>
      <c r="K112">
        <v>108.64</v>
      </c>
    </row>
    <row r="113" spans="1:11" x14ac:dyDescent="0.35">
      <c r="A113" t="s">
        <v>182</v>
      </c>
      <c r="B113" t="s">
        <v>84</v>
      </c>
      <c r="C113" t="s">
        <v>21</v>
      </c>
      <c r="D113" t="s">
        <v>22</v>
      </c>
      <c r="E113" t="s">
        <v>39</v>
      </c>
      <c r="F113" t="s">
        <v>34</v>
      </c>
      <c r="G113" t="s">
        <v>74</v>
      </c>
      <c r="H113" t="s">
        <v>29</v>
      </c>
      <c r="I113">
        <v>7</v>
      </c>
      <c r="J113">
        <v>265.57</v>
      </c>
      <c r="K113">
        <v>1858.99</v>
      </c>
    </row>
    <row r="114" spans="1:11" x14ac:dyDescent="0.35">
      <c r="A114" t="s">
        <v>183</v>
      </c>
      <c r="B114" t="s">
        <v>111</v>
      </c>
      <c r="C114" t="s">
        <v>58</v>
      </c>
      <c r="D114" t="s">
        <v>22</v>
      </c>
      <c r="E114" t="s">
        <v>39</v>
      </c>
      <c r="F114" t="s">
        <v>16</v>
      </c>
      <c r="G114" t="s">
        <v>74</v>
      </c>
      <c r="H114" t="s">
        <v>18</v>
      </c>
      <c r="I114">
        <v>7</v>
      </c>
      <c r="J114">
        <v>139.66999999999999</v>
      </c>
      <c r="K114">
        <v>977.69</v>
      </c>
    </row>
    <row r="115" spans="1:11" x14ac:dyDescent="0.35">
      <c r="A115" t="s">
        <v>184</v>
      </c>
      <c r="B115" t="s">
        <v>73</v>
      </c>
      <c r="C115" t="s">
        <v>66</v>
      </c>
      <c r="D115" t="s">
        <v>67</v>
      </c>
      <c r="E115" t="s">
        <v>44</v>
      </c>
      <c r="F115" t="s">
        <v>40</v>
      </c>
      <c r="G115" t="s">
        <v>35</v>
      </c>
      <c r="H115" t="s">
        <v>29</v>
      </c>
      <c r="I115">
        <v>8</v>
      </c>
      <c r="J115">
        <v>42.26</v>
      </c>
      <c r="K115">
        <v>338.08</v>
      </c>
    </row>
    <row r="116" spans="1:11" x14ac:dyDescent="0.35">
      <c r="A116" t="s">
        <v>185</v>
      </c>
      <c r="B116" t="s">
        <v>26</v>
      </c>
      <c r="C116" t="s">
        <v>58</v>
      </c>
      <c r="D116" t="s">
        <v>22</v>
      </c>
      <c r="E116" t="s">
        <v>15</v>
      </c>
      <c r="F116" t="s">
        <v>28</v>
      </c>
      <c r="G116" t="s">
        <v>74</v>
      </c>
      <c r="H116" t="s">
        <v>29</v>
      </c>
      <c r="I116">
        <v>4</v>
      </c>
      <c r="J116">
        <v>135.58000000000001</v>
      </c>
      <c r="K116">
        <v>542.32000000000005</v>
      </c>
    </row>
    <row r="117" spans="1:11" x14ac:dyDescent="0.35">
      <c r="A117" t="s">
        <v>186</v>
      </c>
      <c r="B117" t="s">
        <v>26</v>
      </c>
      <c r="C117" t="s">
        <v>13</v>
      </c>
      <c r="D117" t="s">
        <v>14</v>
      </c>
      <c r="E117" t="s">
        <v>15</v>
      </c>
      <c r="F117" t="s">
        <v>47</v>
      </c>
      <c r="G117" t="s">
        <v>45</v>
      </c>
      <c r="H117" t="s">
        <v>29</v>
      </c>
      <c r="I117">
        <v>2</v>
      </c>
      <c r="J117">
        <v>160.33000000000001</v>
      </c>
      <c r="K117">
        <v>320.66000000000003</v>
      </c>
    </row>
    <row r="118" spans="1:11" x14ac:dyDescent="0.35">
      <c r="A118" t="s">
        <v>187</v>
      </c>
      <c r="B118" t="s">
        <v>52</v>
      </c>
      <c r="C118" t="s">
        <v>43</v>
      </c>
      <c r="D118" t="s">
        <v>33</v>
      </c>
      <c r="E118" t="s">
        <v>44</v>
      </c>
      <c r="F118" t="s">
        <v>23</v>
      </c>
      <c r="G118" t="s">
        <v>74</v>
      </c>
      <c r="H118" t="s">
        <v>18</v>
      </c>
      <c r="I118">
        <v>10</v>
      </c>
      <c r="J118">
        <v>5.99</v>
      </c>
      <c r="K118">
        <v>59.9</v>
      </c>
    </row>
    <row r="119" spans="1:11" x14ac:dyDescent="0.35">
      <c r="A119" t="s">
        <v>188</v>
      </c>
      <c r="B119" t="s">
        <v>111</v>
      </c>
      <c r="C119" t="s">
        <v>55</v>
      </c>
      <c r="D119" t="s">
        <v>14</v>
      </c>
      <c r="E119" t="s">
        <v>15</v>
      </c>
      <c r="F119" t="s">
        <v>28</v>
      </c>
      <c r="G119" t="s">
        <v>48</v>
      </c>
      <c r="H119" t="s">
        <v>18</v>
      </c>
      <c r="I119">
        <v>9</v>
      </c>
      <c r="J119">
        <v>766.44</v>
      </c>
      <c r="K119">
        <v>6897.96</v>
      </c>
    </row>
    <row r="120" spans="1:11" x14ac:dyDescent="0.35">
      <c r="A120" t="s">
        <v>189</v>
      </c>
      <c r="B120" t="s">
        <v>50</v>
      </c>
      <c r="C120" t="s">
        <v>55</v>
      </c>
      <c r="D120" t="s">
        <v>14</v>
      </c>
      <c r="E120" t="s">
        <v>63</v>
      </c>
      <c r="F120" t="s">
        <v>40</v>
      </c>
      <c r="G120" t="s">
        <v>24</v>
      </c>
      <c r="H120" t="s">
        <v>18</v>
      </c>
      <c r="I120">
        <v>9</v>
      </c>
      <c r="J120">
        <v>764.34</v>
      </c>
      <c r="K120">
        <v>6879.06</v>
      </c>
    </row>
    <row r="121" spans="1:11" x14ac:dyDescent="0.35">
      <c r="A121" t="s">
        <v>190</v>
      </c>
      <c r="B121" t="s">
        <v>88</v>
      </c>
      <c r="C121" t="s">
        <v>21</v>
      </c>
      <c r="D121" t="s">
        <v>22</v>
      </c>
      <c r="E121" t="s">
        <v>39</v>
      </c>
      <c r="F121" t="s">
        <v>23</v>
      </c>
      <c r="G121" t="s">
        <v>24</v>
      </c>
      <c r="H121" t="s">
        <v>29</v>
      </c>
      <c r="I121">
        <v>6</v>
      </c>
      <c r="J121">
        <v>273.14999999999998</v>
      </c>
      <c r="K121">
        <v>1638.9</v>
      </c>
    </row>
    <row r="122" spans="1:11" x14ac:dyDescent="0.35">
      <c r="A122" t="s">
        <v>191</v>
      </c>
      <c r="B122" t="s">
        <v>57</v>
      </c>
      <c r="C122" t="s">
        <v>32</v>
      </c>
      <c r="D122" t="s">
        <v>33</v>
      </c>
      <c r="E122" t="s">
        <v>39</v>
      </c>
      <c r="F122" t="s">
        <v>16</v>
      </c>
      <c r="G122" t="s">
        <v>17</v>
      </c>
      <c r="H122" t="s">
        <v>29</v>
      </c>
      <c r="I122">
        <v>4</v>
      </c>
      <c r="J122">
        <v>3.21</v>
      </c>
      <c r="K122">
        <v>12.84</v>
      </c>
    </row>
    <row r="123" spans="1:11" x14ac:dyDescent="0.35">
      <c r="A123" t="s">
        <v>192</v>
      </c>
      <c r="B123" t="s">
        <v>12</v>
      </c>
      <c r="C123" t="s">
        <v>27</v>
      </c>
      <c r="D123" t="s">
        <v>14</v>
      </c>
      <c r="E123" t="s">
        <v>63</v>
      </c>
      <c r="F123" t="s">
        <v>16</v>
      </c>
      <c r="G123" t="s">
        <v>45</v>
      </c>
      <c r="H123" t="s">
        <v>29</v>
      </c>
      <c r="I123">
        <v>10</v>
      </c>
      <c r="J123">
        <v>23.94</v>
      </c>
      <c r="K123">
        <v>239.4</v>
      </c>
    </row>
    <row r="124" spans="1:11" x14ac:dyDescent="0.35">
      <c r="A124" t="s">
        <v>193</v>
      </c>
      <c r="B124" t="s">
        <v>102</v>
      </c>
      <c r="C124" t="s">
        <v>32</v>
      </c>
      <c r="D124" t="s">
        <v>33</v>
      </c>
      <c r="E124" t="s">
        <v>39</v>
      </c>
      <c r="F124" t="s">
        <v>23</v>
      </c>
      <c r="G124" t="s">
        <v>74</v>
      </c>
      <c r="H124" t="s">
        <v>18</v>
      </c>
      <c r="I124">
        <v>2</v>
      </c>
      <c r="J124">
        <v>3.15</v>
      </c>
      <c r="K124">
        <v>6.3</v>
      </c>
    </row>
    <row r="125" spans="1:11" x14ac:dyDescent="0.35">
      <c r="A125" t="s">
        <v>194</v>
      </c>
      <c r="B125" t="s">
        <v>26</v>
      </c>
      <c r="C125" t="s">
        <v>61</v>
      </c>
      <c r="D125" t="s">
        <v>14</v>
      </c>
      <c r="E125" t="s">
        <v>44</v>
      </c>
      <c r="F125" t="s">
        <v>28</v>
      </c>
      <c r="G125" t="s">
        <v>17</v>
      </c>
      <c r="H125" t="s">
        <v>29</v>
      </c>
      <c r="I125">
        <v>2</v>
      </c>
      <c r="J125">
        <v>200.46</v>
      </c>
      <c r="K125">
        <v>400.92</v>
      </c>
    </row>
    <row r="126" spans="1:11" x14ac:dyDescent="0.35">
      <c r="A126" t="s">
        <v>195</v>
      </c>
      <c r="B126" t="s">
        <v>88</v>
      </c>
      <c r="C126" t="s">
        <v>58</v>
      </c>
      <c r="D126" t="s">
        <v>22</v>
      </c>
      <c r="E126" t="s">
        <v>63</v>
      </c>
      <c r="F126" t="s">
        <v>16</v>
      </c>
      <c r="G126" t="s">
        <v>24</v>
      </c>
      <c r="H126" t="s">
        <v>29</v>
      </c>
      <c r="I126">
        <v>2</v>
      </c>
      <c r="J126">
        <v>110.97</v>
      </c>
      <c r="K126">
        <v>221.94</v>
      </c>
    </row>
    <row r="127" spans="1:11" x14ac:dyDescent="0.35">
      <c r="A127" t="s">
        <v>196</v>
      </c>
      <c r="B127" t="s">
        <v>107</v>
      </c>
      <c r="C127" t="s">
        <v>55</v>
      </c>
      <c r="D127" t="s">
        <v>14</v>
      </c>
      <c r="E127" t="s">
        <v>39</v>
      </c>
      <c r="F127" t="s">
        <v>40</v>
      </c>
      <c r="G127" t="s">
        <v>45</v>
      </c>
      <c r="H127" t="s">
        <v>29</v>
      </c>
      <c r="I127">
        <v>2</v>
      </c>
      <c r="J127">
        <v>753.05</v>
      </c>
      <c r="K127">
        <v>1506.1</v>
      </c>
    </row>
    <row r="128" spans="1:11" x14ac:dyDescent="0.35">
      <c r="A128" t="s">
        <v>197</v>
      </c>
      <c r="B128" t="s">
        <v>50</v>
      </c>
      <c r="C128" t="s">
        <v>38</v>
      </c>
      <c r="D128" t="s">
        <v>14</v>
      </c>
      <c r="E128" t="s">
        <v>63</v>
      </c>
      <c r="F128" t="s">
        <v>40</v>
      </c>
      <c r="G128" t="s">
        <v>17</v>
      </c>
      <c r="H128" t="s">
        <v>18</v>
      </c>
      <c r="I128">
        <v>10</v>
      </c>
      <c r="J128">
        <v>35.69</v>
      </c>
      <c r="K128">
        <v>356.9</v>
      </c>
    </row>
    <row r="129" spans="1:11" x14ac:dyDescent="0.35">
      <c r="A129" t="s">
        <v>198</v>
      </c>
      <c r="B129" t="s">
        <v>12</v>
      </c>
      <c r="C129" t="s">
        <v>13</v>
      </c>
      <c r="D129" t="s">
        <v>14</v>
      </c>
      <c r="E129" t="s">
        <v>15</v>
      </c>
      <c r="F129" t="s">
        <v>28</v>
      </c>
      <c r="G129" t="s">
        <v>35</v>
      </c>
      <c r="H129" t="s">
        <v>29</v>
      </c>
      <c r="I129">
        <v>7</v>
      </c>
      <c r="J129">
        <v>165.65</v>
      </c>
      <c r="K129">
        <v>1159.55</v>
      </c>
    </row>
    <row r="130" spans="1:11" x14ac:dyDescent="0.35">
      <c r="A130" t="s">
        <v>199</v>
      </c>
      <c r="B130" t="s">
        <v>12</v>
      </c>
      <c r="C130" t="s">
        <v>38</v>
      </c>
      <c r="D130" t="s">
        <v>14</v>
      </c>
      <c r="E130" t="s">
        <v>15</v>
      </c>
      <c r="F130" t="s">
        <v>28</v>
      </c>
      <c r="G130" t="s">
        <v>35</v>
      </c>
      <c r="H130" t="s">
        <v>18</v>
      </c>
      <c r="I130">
        <v>9</v>
      </c>
      <c r="J130">
        <v>37.54</v>
      </c>
      <c r="K130">
        <v>337.86</v>
      </c>
    </row>
    <row r="131" spans="1:11" x14ac:dyDescent="0.35">
      <c r="A131" t="s">
        <v>200</v>
      </c>
      <c r="B131" t="s">
        <v>69</v>
      </c>
      <c r="C131" t="s">
        <v>55</v>
      </c>
      <c r="D131" t="s">
        <v>14</v>
      </c>
      <c r="E131" t="s">
        <v>63</v>
      </c>
      <c r="F131" t="s">
        <v>40</v>
      </c>
      <c r="G131" t="s">
        <v>35</v>
      </c>
      <c r="H131" t="s">
        <v>18</v>
      </c>
      <c r="I131">
        <v>4</v>
      </c>
      <c r="J131">
        <v>771.51</v>
      </c>
      <c r="K131">
        <v>3086.04</v>
      </c>
    </row>
    <row r="132" spans="1:11" x14ac:dyDescent="0.35">
      <c r="A132" t="s">
        <v>201</v>
      </c>
      <c r="B132" t="s">
        <v>102</v>
      </c>
      <c r="C132" t="s">
        <v>13</v>
      </c>
      <c r="D132" t="s">
        <v>14</v>
      </c>
      <c r="E132" t="s">
        <v>15</v>
      </c>
      <c r="F132" t="s">
        <v>34</v>
      </c>
      <c r="G132" t="s">
        <v>74</v>
      </c>
      <c r="H132" t="s">
        <v>18</v>
      </c>
      <c r="I132">
        <v>1</v>
      </c>
      <c r="J132">
        <v>142.75</v>
      </c>
      <c r="K132">
        <v>142.75</v>
      </c>
    </row>
    <row r="133" spans="1:11" x14ac:dyDescent="0.35">
      <c r="A133" t="s">
        <v>202</v>
      </c>
      <c r="B133" t="s">
        <v>37</v>
      </c>
      <c r="C133" t="s">
        <v>43</v>
      </c>
      <c r="D133" t="s">
        <v>33</v>
      </c>
      <c r="E133" t="s">
        <v>44</v>
      </c>
      <c r="F133" t="s">
        <v>28</v>
      </c>
      <c r="G133" t="s">
        <v>48</v>
      </c>
      <c r="H133" t="s">
        <v>18</v>
      </c>
      <c r="I133">
        <v>1</v>
      </c>
      <c r="J133">
        <v>4.76</v>
      </c>
      <c r="K133">
        <v>4.76</v>
      </c>
    </row>
    <row r="134" spans="1:11" x14ac:dyDescent="0.35">
      <c r="A134" t="s">
        <v>203</v>
      </c>
      <c r="B134" t="s">
        <v>77</v>
      </c>
      <c r="C134" t="s">
        <v>58</v>
      </c>
      <c r="D134" t="s">
        <v>22</v>
      </c>
      <c r="E134" t="s">
        <v>44</v>
      </c>
      <c r="F134" t="s">
        <v>34</v>
      </c>
      <c r="G134" t="s">
        <v>35</v>
      </c>
      <c r="H134" t="s">
        <v>29</v>
      </c>
      <c r="I134">
        <v>3</v>
      </c>
      <c r="J134">
        <v>114.75</v>
      </c>
      <c r="K134">
        <v>344.25</v>
      </c>
    </row>
    <row r="135" spans="1:11" x14ac:dyDescent="0.35">
      <c r="A135" t="s">
        <v>204</v>
      </c>
      <c r="B135" t="s">
        <v>37</v>
      </c>
      <c r="C135" t="s">
        <v>21</v>
      </c>
      <c r="D135" t="s">
        <v>22</v>
      </c>
      <c r="E135" t="s">
        <v>39</v>
      </c>
      <c r="F135" t="s">
        <v>23</v>
      </c>
      <c r="G135" t="s">
        <v>45</v>
      </c>
      <c r="H135" t="s">
        <v>18</v>
      </c>
      <c r="I135">
        <v>5</v>
      </c>
      <c r="J135">
        <v>298.22000000000003</v>
      </c>
      <c r="K135">
        <v>1491.1</v>
      </c>
    </row>
    <row r="136" spans="1:11" x14ac:dyDescent="0.35">
      <c r="A136" t="s">
        <v>205</v>
      </c>
      <c r="B136" t="s">
        <v>107</v>
      </c>
      <c r="C136" t="s">
        <v>58</v>
      </c>
      <c r="D136" t="s">
        <v>22</v>
      </c>
      <c r="E136" t="s">
        <v>63</v>
      </c>
      <c r="F136" t="s">
        <v>16</v>
      </c>
      <c r="G136" t="s">
        <v>45</v>
      </c>
      <c r="H136" t="s">
        <v>29</v>
      </c>
      <c r="I136">
        <v>3</v>
      </c>
      <c r="J136">
        <v>117.31</v>
      </c>
      <c r="K136">
        <v>351.93</v>
      </c>
    </row>
    <row r="137" spans="1:11" x14ac:dyDescent="0.35">
      <c r="A137" t="s">
        <v>206</v>
      </c>
      <c r="B137" t="s">
        <v>42</v>
      </c>
      <c r="C137" t="s">
        <v>32</v>
      </c>
      <c r="D137" t="s">
        <v>33</v>
      </c>
      <c r="E137" t="s">
        <v>63</v>
      </c>
      <c r="F137" t="s">
        <v>16</v>
      </c>
      <c r="G137" t="s">
        <v>48</v>
      </c>
      <c r="H137" t="s">
        <v>18</v>
      </c>
      <c r="I137">
        <v>4</v>
      </c>
      <c r="J137">
        <v>3.18</v>
      </c>
      <c r="K137">
        <v>12.72</v>
      </c>
    </row>
    <row r="138" spans="1:11" x14ac:dyDescent="0.35">
      <c r="A138" t="s">
        <v>207</v>
      </c>
      <c r="B138" t="s">
        <v>60</v>
      </c>
      <c r="C138" t="s">
        <v>66</v>
      </c>
      <c r="D138" t="s">
        <v>67</v>
      </c>
      <c r="E138" t="s">
        <v>44</v>
      </c>
      <c r="F138" t="s">
        <v>40</v>
      </c>
      <c r="G138" t="s">
        <v>24</v>
      </c>
      <c r="H138" t="s">
        <v>18</v>
      </c>
      <c r="I138">
        <v>1</v>
      </c>
      <c r="J138">
        <v>36.04</v>
      </c>
      <c r="K138">
        <v>36.04</v>
      </c>
    </row>
    <row r="139" spans="1:11" x14ac:dyDescent="0.35">
      <c r="A139" t="s">
        <v>208</v>
      </c>
      <c r="B139" t="s">
        <v>107</v>
      </c>
      <c r="C139" t="s">
        <v>27</v>
      </c>
      <c r="D139" t="s">
        <v>14</v>
      </c>
      <c r="E139" t="s">
        <v>15</v>
      </c>
      <c r="F139" t="s">
        <v>16</v>
      </c>
      <c r="G139" t="s">
        <v>48</v>
      </c>
      <c r="H139" t="s">
        <v>29</v>
      </c>
      <c r="I139">
        <v>4</v>
      </c>
      <c r="J139">
        <v>23.54</v>
      </c>
      <c r="K139">
        <v>94.16</v>
      </c>
    </row>
    <row r="140" spans="1:11" x14ac:dyDescent="0.35">
      <c r="A140" t="s">
        <v>209</v>
      </c>
      <c r="B140" t="s">
        <v>31</v>
      </c>
      <c r="C140" t="s">
        <v>55</v>
      </c>
      <c r="D140" t="s">
        <v>14</v>
      </c>
      <c r="E140" t="s">
        <v>39</v>
      </c>
      <c r="F140" t="s">
        <v>34</v>
      </c>
      <c r="G140" t="s">
        <v>17</v>
      </c>
      <c r="H140" t="s">
        <v>18</v>
      </c>
      <c r="I140">
        <v>10</v>
      </c>
      <c r="J140">
        <v>762.55</v>
      </c>
      <c r="K140">
        <v>7625.5</v>
      </c>
    </row>
    <row r="141" spans="1:11" x14ac:dyDescent="0.35">
      <c r="A141" t="s">
        <v>210</v>
      </c>
      <c r="B141" t="s">
        <v>77</v>
      </c>
      <c r="C141" t="s">
        <v>61</v>
      </c>
      <c r="D141" t="s">
        <v>14</v>
      </c>
      <c r="E141" t="s">
        <v>44</v>
      </c>
      <c r="F141" t="s">
        <v>16</v>
      </c>
      <c r="G141" t="s">
        <v>45</v>
      </c>
      <c r="H141" t="s">
        <v>29</v>
      </c>
      <c r="I141">
        <v>10</v>
      </c>
      <c r="J141">
        <v>213.37</v>
      </c>
      <c r="K141">
        <v>2133.6999999999998</v>
      </c>
    </row>
    <row r="142" spans="1:11" x14ac:dyDescent="0.35">
      <c r="A142" t="s">
        <v>211</v>
      </c>
      <c r="B142" t="s">
        <v>26</v>
      </c>
      <c r="C142" t="s">
        <v>38</v>
      </c>
      <c r="D142" t="s">
        <v>14</v>
      </c>
      <c r="E142" t="s">
        <v>15</v>
      </c>
      <c r="F142" t="s">
        <v>40</v>
      </c>
      <c r="G142" t="s">
        <v>24</v>
      </c>
      <c r="H142" t="s">
        <v>29</v>
      </c>
      <c r="I142">
        <v>9</v>
      </c>
      <c r="J142">
        <v>35.78</v>
      </c>
      <c r="K142">
        <v>322.02</v>
      </c>
    </row>
    <row r="143" spans="1:11" x14ac:dyDescent="0.35">
      <c r="A143" t="s">
        <v>212</v>
      </c>
      <c r="B143" t="s">
        <v>52</v>
      </c>
      <c r="C143" t="s">
        <v>27</v>
      </c>
      <c r="D143" t="s">
        <v>14</v>
      </c>
      <c r="E143" t="s">
        <v>44</v>
      </c>
      <c r="F143" t="s">
        <v>40</v>
      </c>
      <c r="G143" t="s">
        <v>24</v>
      </c>
      <c r="H143" t="s">
        <v>29</v>
      </c>
      <c r="I143">
        <v>7</v>
      </c>
      <c r="J143">
        <v>21.6</v>
      </c>
      <c r="K143">
        <v>151.19999999999999</v>
      </c>
    </row>
    <row r="144" spans="1:11" x14ac:dyDescent="0.35">
      <c r="A144" t="s">
        <v>213</v>
      </c>
      <c r="B144" t="s">
        <v>102</v>
      </c>
      <c r="C144" t="s">
        <v>43</v>
      </c>
      <c r="D144" t="s">
        <v>33</v>
      </c>
      <c r="E144" t="s">
        <v>63</v>
      </c>
      <c r="F144" t="s">
        <v>16</v>
      </c>
      <c r="G144" t="s">
        <v>24</v>
      </c>
      <c r="H144" t="s">
        <v>18</v>
      </c>
      <c r="I144">
        <v>8</v>
      </c>
      <c r="J144">
        <v>5.64</v>
      </c>
      <c r="K144">
        <v>45.12</v>
      </c>
    </row>
    <row r="145" spans="1:11" x14ac:dyDescent="0.35">
      <c r="A145" t="s">
        <v>214</v>
      </c>
      <c r="B145" t="s">
        <v>26</v>
      </c>
      <c r="C145" t="s">
        <v>13</v>
      </c>
      <c r="D145" t="s">
        <v>14</v>
      </c>
      <c r="E145" t="s">
        <v>63</v>
      </c>
      <c r="F145" t="s">
        <v>47</v>
      </c>
      <c r="G145" t="s">
        <v>48</v>
      </c>
      <c r="H145" t="s">
        <v>18</v>
      </c>
      <c r="I145">
        <v>4</v>
      </c>
      <c r="J145">
        <v>148.87</v>
      </c>
      <c r="K145">
        <v>595.48</v>
      </c>
    </row>
    <row r="146" spans="1:11" x14ac:dyDescent="0.35">
      <c r="A146" t="s">
        <v>215</v>
      </c>
      <c r="B146" t="s">
        <v>60</v>
      </c>
      <c r="C146" t="s">
        <v>27</v>
      </c>
      <c r="D146" t="s">
        <v>14</v>
      </c>
      <c r="E146" t="s">
        <v>15</v>
      </c>
      <c r="F146" t="s">
        <v>40</v>
      </c>
      <c r="G146" t="s">
        <v>35</v>
      </c>
      <c r="H146" t="s">
        <v>18</v>
      </c>
      <c r="I146">
        <v>9</v>
      </c>
      <c r="J146">
        <v>22.12</v>
      </c>
      <c r="K146">
        <v>199.08</v>
      </c>
    </row>
    <row r="147" spans="1:11" x14ac:dyDescent="0.35">
      <c r="A147" t="s">
        <v>216</v>
      </c>
      <c r="B147" t="s">
        <v>26</v>
      </c>
      <c r="C147" t="s">
        <v>21</v>
      </c>
      <c r="D147" t="s">
        <v>22</v>
      </c>
      <c r="E147" t="s">
        <v>15</v>
      </c>
      <c r="F147" t="s">
        <v>23</v>
      </c>
      <c r="G147" t="s">
        <v>74</v>
      </c>
      <c r="H147" t="s">
        <v>29</v>
      </c>
      <c r="I147">
        <v>4</v>
      </c>
      <c r="J147">
        <v>244.32</v>
      </c>
      <c r="K147">
        <v>977.28</v>
      </c>
    </row>
    <row r="148" spans="1:11" x14ac:dyDescent="0.35">
      <c r="A148" t="s">
        <v>217</v>
      </c>
      <c r="B148" t="s">
        <v>94</v>
      </c>
      <c r="C148" t="s">
        <v>21</v>
      </c>
      <c r="D148" t="s">
        <v>22</v>
      </c>
      <c r="E148" t="s">
        <v>39</v>
      </c>
      <c r="F148" t="s">
        <v>40</v>
      </c>
      <c r="G148" t="s">
        <v>24</v>
      </c>
      <c r="H148" t="s">
        <v>29</v>
      </c>
      <c r="I148">
        <v>8</v>
      </c>
      <c r="J148">
        <v>235.02</v>
      </c>
      <c r="K148">
        <v>1880.16</v>
      </c>
    </row>
    <row r="149" spans="1:11" x14ac:dyDescent="0.35">
      <c r="A149" t="s">
        <v>218</v>
      </c>
      <c r="B149" t="s">
        <v>42</v>
      </c>
      <c r="C149" t="s">
        <v>32</v>
      </c>
      <c r="D149" t="s">
        <v>33</v>
      </c>
      <c r="E149" t="s">
        <v>15</v>
      </c>
      <c r="F149" t="s">
        <v>34</v>
      </c>
      <c r="G149" t="s">
        <v>17</v>
      </c>
      <c r="H149" t="s">
        <v>18</v>
      </c>
      <c r="I149">
        <v>6</v>
      </c>
      <c r="J149">
        <v>3.09</v>
      </c>
      <c r="K149">
        <v>18.54</v>
      </c>
    </row>
    <row r="150" spans="1:11" x14ac:dyDescent="0.35">
      <c r="A150" t="s">
        <v>219</v>
      </c>
      <c r="B150" t="s">
        <v>12</v>
      </c>
      <c r="C150" t="s">
        <v>27</v>
      </c>
      <c r="D150" t="s">
        <v>14</v>
      </c>
      <c r="E150" t="s">
        <v>39</v>
      </c>
      <c r="F150" t="s">
        <v>16</v>
      </c>
      <c r="G150" t="s">
        <v>17</v>
      </c>
      <c r="H150" t="s">
        <v>29</v>
      </c>
      <c r="I150">
        <v>1</v>
      </c>
      <c r="J150">
        <v>21.01</v>
      </c>
      <c r="K150">
        <v>21.01</v>
      </c>
    </row>
    <row r="151" spans="1:11" x14ac:dyDescent="0.35">
      <c r="A151" t="s">
        <v>220</v>
      </c>
      <c r="B151" t="s">
        <v>69</v>
      </c>
      <c r="C151" t="s">
        <v>66</v>
      </c>
      <c r="D151" t="s">
        <v>67</v>
      </c>
      <c r="E151" t="s">
        <v>63</v>
      </c>
      <c r="F151" t="s">
        <v>34</v>
      </c>
      <c r="G151" t="s">
        <v>45</v>
      </c>
      <c r="H151" t="s">
        <v>18</v>
      </c>
      <c r="I151">
        <v>3</v>
      </c>
      <c r="J151">
        <v>38.51</v>
      </c>
      <c r="K151">
        <v>115.53</v>
      </c>
    </row>
    <row r="152" spans="1:11" x14ac:dyDescent="0.35">
      <c r="A152" t="s">
        <v>221</v>
      </c>
      <c r="B152" t="s">
        <v>111</v>
      </c>
      <c r="C152" t="s">
        <v>55</v>
      </c>
      <c r="D152" t="s">
        <v>14</v>
      </c>
      <c r="E152" t="s">
        <v>63</v>
      </c>
      <c r="F152" t="s">
        <v>23</v>
      </c>
      <c r="G152" t="s">
        <v>48</v>
      </c>
      <c r="H152" t="s">
        <v>29</v>
      </c>
      <c r="I152">
        <v>2</v>
      </c>
      <c r="J152">
        <v>645.79</v>
      </c>
      <c r="K152">
        <v>1291.58</v>
      </c>
    </row>
    <row r="153" spans="1:11" x14ac:dyDescent="0.35">
      <c r="A153" t="s">
        <v>222</v>
      </c>
      <c r="B153" t="s">
        <v>71</v>
      </c>
      <c r="C153" t="s">
        <v>13</v>
      </c>
      <c r="D153" t="s">
        <v>14</v>
      </c>
      <c r="E153" t="s">
        <v>44</v>
      </c>
      <c r="F153" t="s">
        <v>23</v>
      </c>
      <c r="G153" t="s">
        <v>48</v>
      </c>
      <c r="H153" t="s">
        <v>29</v>
      </c>
      <c r="I153">
        <v>1</v>
      </c>
      <c r="J153">
        <v>141.41</v>
      </c>
      <c r="K153">
        <v>141.41</v>
      </c>
    </row>
    <row r="154" spans="1:11" x14ac:dyDescent="0.35">
      <c r="A154" t="s">
        <v>223</v>
      </c>
      <c r="B154" t="s">
        <v>60</v>
      </c>
      <c r="C154" t="s">
        <v>38</v>
      </c>
      <c r="D154" t="s">
        <v>14</v>
      </c>
      <c r="E154" t="s">
        <v>44</v>
      </c>
      <c r="F154" t="s">
        <v>47</v>
      </c>
      <c r="G154" t="s">
        <v>74</v>
      </c>
      <c r="H154" t="s">
        <v>29</v>
      </c>
      <c r="I154">
        <v>9</v>
      </c>
      <c r="J154">
        <v>37.25</v>
      </c>
      <c r="K154">
        <v>335.25</v>
      </c>
    </row>
    <row r="155" spans="1:11" x14ac:dyDescent="0.35">
      <c r="A155" t="s">
        <v>224</v>
      </c>
      <c r="B155" t="s">
        <v>71</v>
      </c>
      <c r="C155" t="s">
        <v>55</v>
      </c>
      <c r="D155" t="s">
        <v>14</v>
      </c>
      <c r="E155" t="s">
        <v>15</v>
      </c>
      <c r="F155" t="s">
        <v>23</v>
      </c>
      <c r="G155" t="s">
        <v>35</v>
      </c>
      <c r="H155" t="s">
        <v>18</v>
      </c>
      <c r="I155">
        <v>6</v>
      </c>
      <c r="J155">
        <v>658.92</v>
      </c>
      <c r="K155">
        <v>3953.52</v>
      </c>
    </row>
    <row r="156" spans="1:11" x14ac:dyDescent="0.35">
      <c r="A156" t="s">
        <v>225</v>
      </c>
      <c r="B156" t="s">
        <v>20</v>
      </c>
      <c r="C156" t="s">
        <v>43</v>
      </c>
      <c r="D156" t="s">
        <v>33</v>
      </c>
      <c r="E156" t="s">
        <v>44</v>
      </c>
      <c r="F156" t="s">
        <v>28</v>
      </c>
      <c r="G156" t="s">
        <v>24</v>
      </c>
      <c r="H156" t="s">
        <v>29</v>
      </c>
      <c r="I156">
        <v>6</v>
      </c>
      <c r="J156">
        <v>4.6399999999999997</v>
      </c>
      <c r="K156">
        <v>27.84</v>
      </c>
    </row>
    <row r="157" spans="1:11" x14ac:dyDescent="0.35">
      <c r="A157" t="s">
        <v>226</v>
      </c>
      <c r="B157" t="s">
        <v>42</v>
      </c>
      <c r="C157" t="s">
        <v>27</v>
      </c>
      <c r="D157" t="s">
        <v>14</v>
      </c>
      <c r="E157" t="s">
        <v>63</v>
      </c>
      <c r="F157" t="s">
        <v>16</v>
      </c>
      <c r="G157" t="s">
        <v>24</v>
      </c>
      <c r="H157" t="s">
        <v>18</v>
      </c>
      <c r="I157">
        <v>1</v>
      </c>
      <c r="J157">
        <v>21.04</v>
      </c>
      <c r="K157">
        <v>21.04</v>
      </c>
    </row>
    <row r="158" spans="1:11" x14ac:dyDescent="0.35">
      <c r="A158" t="s">
        <v>227</v>
      </c>
      <c r="B158" t="s">
        <v>118</v>
      </c>
      <c r="C158" t="s">
        <v>38</v>
      </c>
      <c r="D158" t="s">
        <v>14</v>
      </c>
      <c r="E158" t="s">
        <v>39</v>
      </c>
      <c r="F158" t="s">
        <v>16</v>
      </c>
      <c r="G158" t="s">
        <v>45</v>
      </c>
      <c r="H158" t="s">
        <v>29</v>
      </c>
      <c r="I158">
        <v>7</v>
      </c>
      <c r="J158">
        <v>31.99</v>
      </c>
      <c r="K158">
        <v>223.93</v>
      </c>
    </row>
    <row r="159" spans="1:11" x14ac:dyDescent="0.35">
      <c r="A159" t="s">
        <v>228</v>
      </c>
      <c r="B159" t="s">
        <v>69</v>
      </c>
      <c r="C159" t="s">
        <v>13</v>
      </c>
      <c r="D159" t="s">
        <v>14</v>
      </c>
      <c r="E159" t="s">
        <v>39</v>
      </c>
      <c r="F159" t="s">
        <v>47</v>
      </c>
      <c r="G159" t="s">
        <v>35</v>
      </c>
      <c r="H159" t="s">
        <v>29</v>
      </c>
      <c r="I159">
        <v>3</v>
      </c>
      <c r="J159">
        <v>174.07</v>
      </c>
      <c r="K159">
        <v>522.21</v>
      </c>
    </row>
    <row r="160" spans="1:11" x14ac:dyDescent="0.35">
      <c r="A160" t="s">
        <v>229</v>
      </c>
      <c r="B160" t="s">
        <v>20</v>
      </c>
      <c r="C160" t="s">
        <v>21</v>
      </c>
      <c r="D160" t="s">
        <v>22</v>
      </c>
      <c r="E160" t="s">
        <v>63</v>
      </c>
      <c r="F160" t="s">
        <v>40</v>
      </c>
      <c r="G160" t="s">
        <v>17</v>
      </c>
      <c r="H160" t="s">
        <v>29</v>
      </c>
      <c r="I160">
        <v>5</v>
      </c>
      <c r="J160">
        <v>234.36</v>
      </c>
      <c r="K160">
        <v>1171.8</v>
      </c>
    </row>
    <row r="161" spans="1:11" x14ac:dyDescent="0.35">
      <c r="A161" t="s">
        <v>230</v>
      </c>
      <c r="B161" t="s">
        <v>94</v>
      </c>
      <c r="C161" t="s">
        <v>66</v>
      </c>
      <c r="D161" t="s">
        <v>67</v>
      </c>
      <c r="E161" t="s">
        <v>15</v>
      </c>
      <c r="F161" t="s">
        <v>16</v>
      </c>
      <c r="G161" t="s">
        <v>35</v>
      </c>
      <c r="H161" t="s">
        <v>18</v>
      </c>
      <c r="I161">
        <v>8</v>
      </c>
      <c r="J161">
        <v>43.55</v>
      </c>
      <c r="K161">
        <v>348.4</v>
      </c>
    </row>
    <row r="162" spans="1:11" x14ac:dyDescent="0.35">
      <c r="A162" t="s">
        <v>231</v>
      </c>
      <c r="B162" t="s">
        <v>88</v>
      </c>
      <c r="C162" t="s">
        <v>21</v>
      </c>
      <c r="D162" t="s">
        <v>22</v>
      </c>
      <c r="E162" t="s">
        <v>63</v>
      </c>
      <c r="F162" t="s">
        <v>47</v>
      </c>
      <c r="G162" t="s">
        <v>45</v>
      </c>
      <c r="H162" t="s">
        <v>29</v>
      </c>
      <c r="I162">
        <v>9</v>
      </c>
      <c r="J162">
        <v>275.62</v>
      </c>
      <c r="K162">
        <v>2480.58</v>
      </c>
    </row>
    <row r="163" spans="1:11" x14ac:dyDescent="0.35">
      <c r="A163" t="s">
        <v>232</v>
      </c>
      <c r="B163" t="s">
        <v>60</v>
      </c>
      <c r="C163" t="s">
        <v>66</v>
      </c>
      <c r="D163" t="s">
        <v>67</v>
      </c>
      <c r="E163" t="s">
        <v>63</v>
      </c>
      <c r="F163" t="s">
        <v>47</v>
      </c>
      <c r="G163" t="s">
        <v>24</v>
      </c>
      <c r="H163" t="s">
        <v>29</v>
      </c>
      <c r="I163">
        <v>7</v>
      </c>
      <c r="J163">
        <v>38.28</v>
      </c>
      <c r="K163">
        <v>267.95999999999998</v>
      </c>
    </row>
    <row r="164" spans="1:11" x14ac:dyDescent="0.35">
      <c r="A164" t="s">
        <v>233</v>
      </c>
      <c r="B164" t="s">
        <v>147</v>
      </c>
      <c r="C164" t="s">
        <v>58</v>
      </c>
      <c r="D164" t="s">
        <v>22</v>
      </c>
      <c r="E164" t="s">
        <v>63</v>
      </c>
      <c r="F164" t="s">
        <v>40</v>
      </c>
      <c r="G164" t="s">
        <v>48</v>
      </c>
      <c r="H164" t="s">
        <v>18</v>
      </c>
      <c r="I164">
        <v>3</v>
      </c>
      <c r="J164">
        <v>124.09</v>
      </c>
      <c r="K164">
        <v>372.27</v>
      </c>
    </row>
    <row r="165" spans="1:11" x14ac:dyDescent="0.35">
      <c r="A165" t="s">
        <v>234</v>
      </c>
      <c r="B165" t="s">
        <v>60</v>
      </c>
      <c r="C165" t="s">
        <v>58</v>
      </c>
      <c r="D165" t="s">
        <v>22</v>
      </c>
      <c r="E165" t="s">
        <v>15</v>
      </c>
      <c r="F165" t="s">
        <v>28</v>
      </c>
      <c r="G165" t="s">
        <v>17</v>
      </c>
      <c r="H165" t="s">
        <v>18</v>
      </c>
      <c r="I165">
        <v>10</v>
      </c>
      <c r="J165">
        <v>122.71</v>
      </c>
      <c r="K165">
        <v>1227.0999999999999</v>
      </c>
    </row>
    <row r="166" spans="1:11" x14ac:dyDescent="0.35">
      <c r="A166" t="s">
        <v>235</v>
      </c>
      <c r="B166" t="s">
        <v>107</v>
      </c>
      <c r="C166" t="s">
        <v>32</v>
      </c>
      <c r="D166" t="s">
        <v>33</v>
      </c>
      <c r="E166" t="s">
        <v>39</v>
      </c>
      <c r="F166" t="s">
        <v>47</v>
      </c>
      <c r="G166" t="s">
        <v>45</v>
      </c>
      <c r="H166" t="s">
        <v>18</v>
      </c>
      <c r="I166">
        <v>2</v>
      </c>
      <c r="J166">
        <v>3.38</v>
      </c>
      <c r="K166">
        <v>6.76</v>
      </c>
    </row>
    <row r="167" spans="1:11" x14ac:dyDescent="0.35">
      <c r="A167" t="s">
        <v>236</v>
      </c>
      <c r="B167" t="s">
        <v>50</v>
      </c>
      <c r="C167" t="s">
        <v>66</v>
      </c>
      <c r="D167" t="s">
        <v>67</v>
      </c>
      <c r="E167" t="s">
        <v>63</v>
      </c>
      <c r="F167" t="s">
        <v>47</v>
      </c>
      <c r="G167" t="s">
        <v>35</v>
      </c>
      <c r="H167" t="s">
        <v>18</v>
      </c>
      <c r="I167">
        <v>7</v>
      </c>
      <c r="J167">
        <v>39.83</v>
      </c>
      <c r="K167">
        <v>278.81</v>
      </c>
    </row>
    <row r="168" spans="1:11" x14ac:dyDescent="0.35">
      <c r="A168" t="s">
        <v>237</v>
      </c>
      <c r="B168" t="s">
        <v>147</v>
      </c>
      <c r="C168" t="s">
        <v>66</v>
      </c>
      <c r="D168" t="s">
        <v>67</v>
      </c>
      <c r="E168" t="s">
        <v>39</v>
      </c>
      <c r="F168" t="s">
        <v>28</v>
      </c>
      <c r="G168" t="s">
        <v>74</v>
      </c>
      <c r="H168" t="s">
        <v>29</v>
      </c>
      <c r="I168">
        <v>8</v>
      </c>
      <c r="J168">
        <v>43.4</v>
      </c>
      <c r="K168">
        <v>347.2</v>
      </c>
    </row>
    <row r="169" spans="1:11" x14ac:dyDescent="0.35">
      <c r="A169" t="s">
        <v>238</v>
      </c>
      <c r="B169" t="s">
        <v>65</v>
      </c>
      <c r="C169" t="s">
        <v>61</v>
      </c>
      <c r="D169" t="s">
        <v>14</v>
      </c>
      <c r="E169" t="s">
        <v>39</v>
      </c>
      <c r="F169" t="s">
        <v>16</v>
      </c>
      <c r="G169" t="s">
        <v>45</v>
      </c>
      <c r="H169" t="s">
        <v>29</v>
      </c>
      <c r="I169">
        <v>7</v>
      </c>
      <c r="J169">
        <v>200.31</v>
      </c>
      <c r="K169">
        <v>1402.17</v>
      </c>
    </row>
    <row r="170" spans="1:11" x14ac:dyDescent="0.35">
      <c r="A170" t="s">
        <v>239</v>
      </c>
      <c r="B170" t="s">
        <v>128</v>
      </c>
      <c r="C170" t="s">
        <v>13</v>
      </c>
      <c r="D170" t="s">
        <v>14</v>
      </c>
      <c r="E170" t="s">
        <v>44</v>
      </c>
      <c r="F170" t="s">
        <v>47</v>
      </c>
      <c r="G170" t="s">
        <v>24</v>
      </c>
      <c r="H170" t="s">
        <v>29</v>
      </c>
      <c r="I170">
        <v>5</v>
      </c>
      <c r="J170">
        <v>157.52000000000001</v>
      </c>
      <c r="K170">
        <v>787.6</v>
      </c>
    </row>
    <row r="171" spans="1:11" x14ac:dyDescent="0.35">
      <c r="A171" t="s">
        <v>240</v>
      </c>
      <c r="B171" t="s">
        <v>50</v>
      </c>
      <c r="C171" t="s">
        <v>66</v>
      </c>
      <c r="D171" t="s">
        <v>67</v>
      </c>
      <c r="E171" t="s">
        <v>39</v>
      </c>
      <c r="F171" t="s">
        <v>47</v>
      </c>
      <c r="G171" t="s">
        <v>24</v>
      </c>
      <c r="H171" t="s">
        <v>18</v>
      </c>
      <c r="I171">
        <v>1</v>
      </c>
      <c r="J171">
        <v>47.73</v>
      </c>
      <c r="K171">
        <v>47.73</v>
      </c>
    </row>
    <row r="172" spans="1:11" x14ac:dyDescent="0.35">
      <c r="A172" t="s">
        <v>241</v>
      </c>
      <c r="B172" t="s">
        <v>107</v>
      </c>
      <c r="C172" t="s">
        <v>21</v>
      </c>
      <c r="D172" t="s">
        <v>22</v>
      </c>
      <c r="E172" t="s">
        <v>44</v>
      </c>
      <c r="F172" t="s">
        <v>16</v>
      </c>
      <c r="G172" t="s">
        <v>74</v>
      </c>
      <c r="H172" t="s">
        <v>18</v>
      </c>
      <c r="I172">
        <v>3</v>
      </c>
      <c r="J172">
        <v>252.89</v>
      </c>
      <c r="K172">
        <v>758.67</v>
      </c>
    </row>
    <row r="173" spans="1:11" x14ac:dyDescent="0.35">
      <c r="A173" t="s">
        <v>242</v>
      </c>
      <c r="B173" t="s">
        <v>65</v>
      </c>
      <c r="C173" t="s">
        <v>58</v>
      </c>
      <c r="D173" t="s">
        <v>22</v>
      </c>
      <c r="E173" t="s">
        <v>15</v>
      </c>
      <c r="F173" t="s">
        <v>47</v>
      </c>
      <c r="G173" t="s">
        <v>35</v>
      </c>
      <c r="H173" t="s">
        <v>29</v>
      </c>
      <c r="I173">
        <v>4</v>
      </c>
      <c r="J173">
        <v>140.4</v>
      </c>
      <c r="K173">
        <v>561.6</v>
      </c>
    </row>
    <row r="174" spans="1:11" x14ac:dyDescent="0.35">
      <c r="A174" t="s">
        <v>243</v>
      </c>
      <c r="B174" t="s">
        <v>90</v>
      </c>
      <c r="C174" t="s">
        <v>13</v>
      </c>
      <c r="D174" t="s">
        <v>14</v>
      </c>
      <c r="E174" t="s">
        <v>63</v>
      </c>
      <c r="F174" t="s">
        <v>23</v>
      </c>
      <c r="G174" t="s">
        <v>48</v>
      </c>
      <c r="H174" t="s">
        <v>29</v>
      </c>
      <c r="I174">
        <v>5</v>
      </c>
      <c r="J174">
        <v>149.36000000000001</v>
      </c>
      <c r="K174">
        <v>746.8</v>
      </c>
    </row>
    <row r="175" spans="1:11" x14ac:dyDescent="0.35">
      <c r="A175" t="s">
        <v>244</v>
      </c>
      <c r="B175" t="s">
        <v>69</v>
      </c>
      <c r="C175" t="s">
        <v>43</v>
      </c>
      <c r="D175" t="s">
        <v>33</v>
      </c>
      <c r="E175" t="s">
        <v>39</v>
      </c>
      <c r="F175" t="s">
        <v>28</v>
      </c>
      <c r="G175" t="s">
        <v>17</v>
      </c>
      <c r="H175" t="s">
        <v>18</v>
      </c>
      <c r="I175">
        <v>10</v>
      </c>
      <c r="J175">
        <v>5.31</v>
      </c>
      <c r="K175">
        <v>53.1</v>
      </c>
    </row>
    <row r="176" spans="1:11" x14ac:dyDescent="0.35">
      <c r="A176" t="s">
        <v>245</v>
      </c>
      <c r="B176" t="s">
        <v>37</v>
      </c>
      <c r="C176" t="s">
        <v>27</v>
      </c>
      <c r="D176" t="s">
        <v>14</v>
      </c>
      <c r="E176" t="s">
        <v>63</v>
      </c>
      <c r="F176" t="s">
        <v>34</v>
      </c>
      <c r="G176" t="s">
        <v>24</v>
      </c>
      <c r="H176" t="s">
        <v>18</v>
      </c>
      <c r="I176">
        <v>6</v>
      </c>
      <c r="J176">
        <v>18.82</v>
      </c>
      <c r="K176">
        <v>112.92</v>
      </c>
    </row>
    <row r="177" spans="1:11" x14ac:dyDescent="0.35">
      <c r="A177" t="s">
        <v>246</v>
      </c>
      <c r="B177" t="s">
        <v>26</v>
      </c>
      <c r="C177" t="s">
        <v>32</v>
      </c>
      <c r="D177" t="s">
        <v>33</v>
      </c>
      <c r="E177" t="s">
        <v>39</v>
      </c>
      <c r="F177" t="s">
        <v>40</v>
      </c>
      <c r="G177" t="s">
        <v>17</v>
      </c>
      <c r="H177" t="s">
        <v>29</v>
      </c>
      <c r="I177">
        <v>10</v>
      </c>
      <c r="J177">
        <v>2.81</v>
      </c>
      <c r="K177">
        <v>28.1</v>
      </c>
    </row>
    <row r="178" spans="1:11" x14ac:dyDescent="0.35">
      <c r="A178" t="s">
        <v>247</v>
      </c>
      <c r="B178" t="s">
        <v>147</v>
      </c>
      <c r="C178" t="s">
        <v>38</v>
      </c>
      <c r="D178" t="s">
        <v>14</v>
      </c>
      <c r="E178" t="s">
        <v>39</v>
      </c>
      <c r="F178" t="s">
        <v>34</v>
      </c>
      <c r="G178" t="s">
        <v>45</v>
      </c>
      <c r="H178" t="s">
        <v>29</v>
      </c>
      <c r="I178">
        <v>10</v>
      </c>
      <c r="J178">
        <v>40.9</v>
      </c>
      <c r="K178">
        <v>409</v>
      </c>
    </row>
    <row r="179" spans="1:11" x14ac:dyDescent="0.35">
      <c r="A179" t="s">
        <v>248</v>
      </c>
      <c r="B179" t="s">
        <v>52</v>
      </c>
      <c r="C179" t="s">
        <v>13</v>
      </c>
      <c r="D179" t="s">
        <v>14</v>
      </c>
      <c r="E179" t="s">
        <v>15</v>
      </c>
      <c r="F179" t="s">
        <v>40</v>
      </c>
      <c r="G179" t="s">
        <v>35</v>
      </c>
      <c r="H179" t="s">
        <v>29</v>
      </c>
      <c r="I179">
        <v>5</v>
      </c>
      <c r="J179">
        <v>161.02000000000001</v>
      </c>
      <c r="K179">
        <v>805.1</v>
      </c>
    </row>
    <row r="180" spans="1:11" x14ac:dyDescent="0.35">
      <c r="A180" t="s">
        <v>249</v>
      </c>
      <c r="B180" t="s">
        <v>60</v>
      </c>
      <c r="C180" t="s">
        <v>66</v>
      </c>
      <c r="D180" t="s">
        <v>67</v>
      </c>
      <c r="E180" t="s">
        <v>39</v>
      </c>
      <c r="F180" t="s">
        <v>16</v>
      </c>
      <c r="G180" t="s">
        <v>24</v>
      </c>
      <c r="H180" t="s">
        <v>29</v>
      </c>
      <c r="I180">
        <v>1</v>
      </c>
      <c r="J180">
        <v>45.67</v>
      </c>
      <c r="K180">
        <v>45.67</v>
      </c>
    </row>
    <row r="181" spans="1:11" x14ac:dyDescent="0.35">
      <c r="A181" t="s">
        <v>250</v>
      </c>
      <c r="B181" t="s">
        <v>124</v>
      </c>
      <c r="C181" t="s">
        <v>58</v>
      </c>
      <c r="D181" t="s">
        <v>22</v>
      </c>
      <c r="E181" t="s">
        <v>15</v>
      </c>
      <c r="F181" t="s">
        <v>23</v>
      </c>
      <c r="G181" t="s">
        <v>17</v>
      </c>
      <c r="H181" t="s">
        <v>18</v>
      </c>
      <c r="I181">
        <v>6</v>
      </c>
      <c r="J181">
        <v>114.83</v>
      </c>
      <c r="K181">
        <v>688.98</v>
      </c>
    </row>
    <row r="182" spans="1:11" x14ac:dyDescent="0.35">
      <c r="A182" t="s">
        <v>251</v>
      </c>
      <c r="B182" t="s">
        <v>69</v>
      </c>
      <c r="C182" t="s">
        <v>66</v>
      </c>
      <c r="D182" t="s">
        <v>67</v>
      </c>
      <c r="E182" t="s">
        <v>63</v>
      </c>
      <c r="F182" t="s">
        <v>40</v>
      </c>
      <c r="G182" t="s">
        <v>35</v>
      </c>
      <c r="H182" t="s">
        <v>18</v>
      </c>
      <c r="I182">
        <v>1</v>
      </c>
      <c r="J182">
        <v>46.01</v>
      </c>
      <c r="K182">
        <v>46.01</v>
      </c>
    </row>
    <row r="183" spans="1:11" x14ac:dyDescent="0.35">
      <c r="A183" t="s">
        <v>252</v>
      </c>
      <c r="B183" t="s">
        <v>26</v>
      </c>
      <c r="C183" t="s">
        <v>61</v>
      </c>
      <c r="D183" t="s">
        <v>14</v>
      </c>
      <c r="E183" t="s">
        <v>15</v>
      </c>
      <c r="F183" t="s">
        <v>40</v>
      </c>
      <c r="G183" t="s">
        <v>48</v>
      </c>
      <c r="H183" t="s">
        <v>18</v>
      </c>
      <c r="I183">
        <v>10</v>
      </c>
      <c r="J183">
        <v>171.53</v>
      </c>
      <c r="K183">
        <v>1715.3</v>
      </c>
    </row>
    <row r="184" spans="1:11" x14ac:dyDescent="0.35">
      <c r="A184" t="s">
        <v>253</v>
      </c>
      <c r="B184" t="s">
        <v>107</v>
      </c>
      <c r="C184" t="s">
        <v>66</v>
      </c>
      <c r="D184" t="s">
        <v>67</v>
      </c>
      <c r="E184" t="s">
        <v>44</v>
      </c>
      <c r="F184" t="s">
        <v>23</v>
      </c>
      <c r="G184" t="s">
        <v>74</v>
      </c>
      <c r="H184" t="s">
        <v>18</v>
      </c>
      <c r="I184">
        <v>7</v>
      </c>
      <c r="J184">
        <v>38.25</v>
      </c>
      <c r="K184">
        <v>267.75</v>
      </c>
    </row>
    <row r="185" spans="1:11" x14ac:dyDescent="0.35">
      <c r="A185" t="s">
        <v>254</v>
      </c>
      <c r="B185" t="s">
        <v>31</v>
      </c>
      <c r="C185" t="s">
        <v>43</v>
      </c>
      <c r="D185" t="s">
        <v>33</v>
      </c>
      <c r="E185" t="s">
        <v>44</v>
      </c>
      <c r="F185" t="s">
        <v>47</v>
      </c>
      <c r="G185" t="s">
        <v>17</v>
      </c>
      <c r="H185" t="s">
        <v>29</v>
      </c>
      <c r="I185">
        <v>9</v>
      </c>
      <c r="J185">
        <v>4.68</v>
      </c>
      <c r="K185">
        <v>42.12</v>
      </c>
    </row>
    <row r="186" spans="1:11" x14ac:dyDescent="0.35">
      <c r="A186" t="s">
        <v>255</v>
      </c>
      <c r="B186" t="s">
        <v>94</v>
      </c>
      <c r="C186" t="s">
        <v>21</v>
      </c>
      <c r="D186" t="s">
        <v>22</v>
      </c>
      <c r="E186" t="s">
        <v>63</v>
      </c>
      <c r="F186" t="s">
        <v>47</v>
      </c>
      <c r="G186" t="s">
        <v>74</v>
      </c>
      <c r="H186" t="s">
        <v>29</v>
      </c>
      <c r="I186">
        <v>4</v>
      </c>
      <c r="J186">
        <v>246.84</v>
      </c>
      <c r="K186">
        <v>987.36</v>
      </c>
    </row>
    <row r="187" spans="1:11" x14ac:dyDescent="0.35">
      <c r="A187" t="s">
        <v>256</v>
      </c>
      <c r="B187" t="s">
        <v>65</v>
      </c>
      <c r="C187" t="s">
        <v>38</v>
      </c>
      <c r="D187" t="s">
        <v>14</v>
      </c>
      <c r="E187" t="s">
        <v>39</v>
      </c>
      <c r="F187" t="s">
        <v>47</v>
      </c>
      <c r="G187" t="s">
        <v>35</v>
      </c>
      <c r="H187" t="s">
        <v>29</v>
      </c>
      <c r="I187">
        <v>1</v>
      </c>
      <c r="J187">
        <v>36.090000000000003</v>
      </c>
      <c r="K187">
        <v>36.090000000000003</v>
      </c>
    </row>
    <row r="188" spans="1:11" x14ac:dyDescent="0.35">
      <c r="A188" t="s">
        <v>257</v>
      </c>
      <c r="B188" t="s">
        <v>90</v>
      </c>
      <c r="C188" t="s">
        <v>66</v>
      </c>
      <c r="D188" t="s">
        <v>67</v>
      </c>
      <c r="E188" t="s">
        <v>63</v>
      </c>
      <c r="F188" t="s">
        <v>28</v>
      </c>
      <c r="G188" t="s">
        <v>48</v>
      </c>
      <c r="H188" t="s">
        <v>29</v>
      </c>
      <c r="I188">
        <v>6</v>
      </c>
      <c r="J188">
        <v>38.869999999999997</v>
      </c>
      <c r="K188">
        <v>233.22</v>
      </c>
    </row>
    <row r="189" spans="1:11" x14ac:dyDescent="0.35">
      <c r="A189" t="s">
        <v>258</v>
      </c>
      <c r="B189" t="s">
        <v>60</v>
      </c>
      <c r="C189" t="s">
        <v>61</v>
      </c>
      <c r="D189" t="s">
        <v>14</v>
      </c>
      <c r="E189" t="s">
        <v>15</v>
      </c>
      <c r="F189" t="s">
        <v>16</v>
      </c>
      <c r="G189" t="s">
        <v>24</v>
      </c>
      <c r="H189" t="s">
        <v>18</v>
      </c>
      <c r="I189">
        <v>5</v>
      </c>
      <c r="J189">
        <v>179.35</v>
      </c>
      <c r="K189">
        <v>896.75</v>
      </c>
    </row>
    <row r="190" spans="1:11" x14ac:dyDescent="0.35">
      <c r="A190" t="s">
        <v>259</v>
      </c>
      <c r="B190" t="s">
        <v>37</v>
      </c>
      <c r="C190" t="s">
        <v>55</v>
      </c>
      <c r="D190" t="s">
        <v>14</v>
      </c>
      <c r="E190" t="s">
        <v>63</v>
      </c>
      <c r="F190" t="s">
        <v>34</v>
      </c>
      <c r="G190" t="s">
        <v>24</v>
      </c>
      <c r="H190" t="s">
        <v>18</v>
      </c>
      <c r="I190">
        <v>2</v>
      </c>
      <c r="J190">
        <v>641.15</v>
      </c>
      <c r="K190">
        <v>1282.3</v>
      </c>
    </row>
    <row r="191" spans="1:11" x14ac:dyDescent="0.35">
      <c r="A191" t="s">
        <v>260</v>
      </c>
      <c r="B191" t="s">
        <v>50</v>
      </c>
      <c r="C191" t="s">
        <v>27</v>
      </c>
      <c r="D191" t="s">
        <v>14</v>
      </c>
      <c r="E191" t="s">
        <v>39</v>
      </c>
      <c r="F191" t="s">
        <v>28</v>
      </c>
      <c r="G191" t="s">
        <v>24</v>
      </c>
      <c r="H191" t="s">
        <v>29</v>
      </c>
      <c r="I191">
        <v>4</v>
      </c>
      <c r="J191">
        <v>22.6</v>
      </c>
      <c r="K191">
        <v>90.4</v>
      </c>
    </row>
    <row r="192" spans="1:11" x14ac:dyDescent="0.35">
      <c r="A192" t="s">
        <v>261</v>
      </c>
      <c r="B192" t="s">
        <v>107</v>
      </c>
      <c r="C192" t="s">
        <v>13</v>
      </c>
      <c r="D192" t="s">
        <v>14</v>
      </c>
      <c r="E192" t="s">
        <v>44</v>
      </c>
      <c r="F192" t="s">
        <v>47</v>
      </c>
      <c r="G192" t="s">
        <v>35</v>
      </c>
      <c r="H192" t="s">
        <v>29</v>
      </c>
      <c r="I192">
        <v>6</v>
      </c>
      <c r="J192">
        <v>136.43</v>
      </c>
      <c r="K192">
        <v>818.58</v>
      </c>
    </row>
    <row r="193" spans="1:11" x14ac:dyDescent="0.35">
      <c r="A193" t="s">
        <v>262</v>
      </c>
      <c r="B193" t="s">
        <v>88</v>
      </c>
      <c r="C193" t="s">
        <v>38</v>
      </c>
      <c r="D193" t="s">
        <v>14</v>
      </c>
      <c r="E193" t="s">
        <v>39</v>
      </c>
      <c r="F193" t="s">
        <v>28</v>
      </c>
      <c r="G193" t="s">
        <v>45</v>
      </c>
      <c r="H193" t="s">
        <v>18</v>
      </c>
      <c r="I193">
        <v>3</v>
      </c>
      <c r="J193">
        <v>39.78</v>
      </c>
      <c r="K193">
        <v>119.34</v>
      </c>
    </row>
    <row r="194" spans="1:11" x14ac:dyDescent="0.35">
      <c r="A194" t="s">
        <v>263</v>
      </c>
      <c r="B194" t="s">
        <v>118</v>
      </c>
      <c r="C194" t="s">
        <v>27</v>
      </c>
      <c r="D194" t="s">
        <v>14</v>
      </c>
      <c r="E194" t="s">
        <v>44</v>
      </c>
      <c r="F194" t="s">
        <v>28</v>
      </c>
      <c r="G194" t="s">
        <v>35</v>
      </c>
      <c r="H194" t="s">
        <v>18</v>
      </c>
      <c r="I194">
        <v>4</v>
      </c>
      <c r="J194">
        <v>22.64</v>
      </c>
      <c r="K194">
        <v>90.56</v>
      </c>
    </row>
    <row r="195" spans="1:11" x14ac:dyDescent="0.35">
      <c r="A195" t="s">
        <v>264</v>
      </c>
      <c r="B195" t="s">
        <v>26</v>
      </c>
      <c r="C195" t="s">
        <v>43</v>
      </c>
      <c r="D195" t="s">
        <v>33</v>
      </c>
      <c r="E195" t="s">
        <v>44</v>
      </c>
      <c r="F195" t="s">
        <v>40</v>
      </c>
      <c r="G195" t="s">
        <v>74</v>
      </c>
      <c r="H195" t="s">
        <v>29</v>
      </c>
      <c r="I195">
        <v>2</v>
      </c>
      <c r="J195">
        <v>4.9800000000000004</v>
      </c>
      <c r="K195">
        <v>9.9600000000000009</v>
      </c>
    </row>
    <row r="196" spans="1:11" x14ac:dyDescent="0.35">
      <c r="A196" t="s">
        <v>265</v>
      </c>
      <c r="B196" t="s">
        <v>84</v>
      </c>
      <c r="C196" t="s">
        <v>27</v>
      </c>
      <c r="D196" t="s">
        <v>14</v>
      </c>
      <c r="E196" t="s">
        <v>39</v>
      </c>
      <c r="F196" t="s">
        <v>34</v>
      </c>
      <c r="G196" t="s">
        <v>24</v>
      </c>
      <c r="H196" t="s">
        <v>18</v>
      </c>
      <c r="I196">
        <v>1</v>
      </c>
      <c r="J196">
        <v>18.07</v>
      </c>
      <c r="K196">
        <v>18.07</v>
      </c>
    </row>
    <row r="197" spans="1:11" x14ac:dyDescent="0.35">
      <c r="A197" t="s">
        <v>266</v>
      </c>
      <c r="B197" t="s">
        <v>65</v>
      </c>
      <c r="C197" t="s">
        <v>66</v>
      </c>
      <c r="D197" t="s">
        <v>67</v>
      </c>
      <c r="E197" t="s">
        <v>39</v>
      </c>
      <c r="F197" t="s">
        <v>16</v>
      </c>
      <c r="G197" t="s">
        <v>17</v>
      </c>
      <c r="H197" t="s">
        <v>18</v>
      </c>
      <c r="I197">
        <v>7</v>
      </c>
      <c r="J197">
        <v>38.6</v>
      </c>
      <c r="K197">
        <v>270.2</v>
      </c>
    </row>
    <row r="198" spans="1:11" x14ac:dyDescent="0.35">
      <c r="A198" t="s">
        <v>267</v>
      </c>
      <c r="B198" t="s">
        <v>71</v>
      </c>
      <c r="C198" t="s">
        <v>61</v>
      </c>
      <c r="D198" t="s">
        <v>14</v>
      </c>
      <c r="E198" t="s">
        <v>15</v>
      </c>
      <c r="F198" t="s">
        <v>28</v>
      </c>
      <c r="G198" t="s">
        <v>74</v>
      </c>
      <c r="H198" t="s">
        <v>29</v>
      </c>
      <c r="I198">
        <v>8</v>
      </c>
      <c r="J198">
        <v>171.63</v>
      </c>
      <c r="K198">
        <v>1373.04</v>
      </c>
    </row>
    <row r="199" spans="1:11" x14ac:dyDescent="0.35">
      <c r="A199" t="s">
        <v>268</v>
      </c>
      <c r="B199" t="s">
        <v>84</v>
      </c>
      <c r="C199" t="s">
        <v>38</v>
      </c>
      <c r="D199" t="s">
        <v>14</v>
      </c>
      <c r="E199" t="s">
        <v>63</v>
      </c>
      <c r="F199" t="s">
        <v>23</v>
      </c>
      <c r="G199" t="s">
        <v>45</v>
      </c>
      <c r="H199" t="s">
        <v>18</v>
      </c>
      <c r="I199">
        <v>2</v>
      </c>
      <c r="J199">
        <v>41.71</v>
      </c>
      <c r="K199">
        <v>83.42</v>
      </c>
    </row>
    <row r="200" spans="1:11" x14ac:dyDescent="0.35">
      <c r="A200" t="s">
        <v>269</v>
      </c>
      <c r="B200" t="s">
        <v>73</v>
      </c>
      <c r="C200" t="s">
        <v>61</v>
      </c>
      <c r="D200" t="s">
        <v>14</v>
      </c>
      <c r="E200" t="s">
        <v>39</v>
      </c>
      <c r="F200" t="s">
        <v>28</v>
      </c>
      <c r="G200" t="s">
        <v>45</v>
      </c>
      <c r="H200" t="s">
        <v>29</v>
      </c>
      <c r="I200">
        <v>3</v>
      </c>
      <c r="J200">
        <v>167.9</v>
      </c>
      <c r="K200">
        <v>503.7</v>
      </c>
    </row>
    <row r="201" spans="1:11" x14ac:dyDescent="0.35">
      <c r="A201" t="s">
        <v>270</v>
      </c>
      <c r="B201" t="s">
        <v>84</v>
      </c>
      <c r="C201" t="s">
        <v>38</v>
      </c>
      <c r="D201" t="s">
        <v>14</v>
      </c>
      <c r="E201" t="s">
        <v>15</v>
      </c>
      <c r="F201" t="s">
        <v>40</v>
      </c>
      <c r="G201" t="s">
        <v>35</v>
      </c>
      <c r="H201" t="s">
        <v>18</v>
      </c>
      <c r="I201">
        <v>8</v>
      </c>
      <c r="J201">
        <v>41.45</v>
      </c>
      <c r="K201">
        <v>331.6</v>
      </c>
    </row>
    <row r="202" spans="1:11" x14ac:dyDescent="0.35">
      <c r="A202" t="s">
        <v>271</v>
      </c>
      <c r="B202" t="s">
        <v>26</v>
      </c>
      <c r="C202" t="s">
        <v>55</v>
      </c>
      <c r="D202" t="s">
        <v>14</v>
      </c>
      <c r="E202" t="s">
        <v>63</v>
      </c>
      <c r="F202" t="s">
        <v>47</v>
      </c>
      <c r="G202" t="s">
        <v>24</v>
      </c>
      <c r="H202" t="s">
        <v>29</v>
      </c>
      <c r="I202">
        <v>8</v>
      </c>
      <c r="J202">
        <v>771.74</v>
      </c>
      <c r="K202">
        <v>6173.92</v>
      </c>
    </row>
    <row r="203" spans="1:11" x14ac:dyDescent="0.35">
      <c r="A203" t="s">
        <v>272</v>
      </c>
      <c r="B203" t="s">
        <v>54</v>
      </c>
      <c r="C203" t="s">
        <v>38</v>
      </c>
      <c r="D203" t="s">
        <v>14</v>
      </c>
      <c r="E203" t="s">
        <v>63</v>
      </c>
      <c r="F203" t="s">
        <v>28</v>
      </c>
      <c r="G203" t="s">
        <v>45</v>
      </c>
      <c r="H203" t="s">
        <v>29</v>
      </c>
      <c r="I203">
        <v>1</v>
      </c>
      <c r="J203">
        <v>32.770000000000003</v>
      </c>
      <c r="K203">
        <v>32.770000000000003</v>
      </c>
    </row>
    <row r="204" spans="1:11" x14ac:dyDescent="0.35">
      <c r="A204" t="s">
        <v>273</v>
      </c>
      <c r="B204" t="s">
        <v>111</v>
      </c>
      <c r="C204" t="s">
        <v>58</v>
      </c>
      <c r="D204" t="s">
        <v>22</v>
      </c>
      <c r="E204" t="s">
        <v>63</v>
      </c>
      <c r="F204" t="s">
        <v>47</v>
      </c>
      <c r="G204" t="s">
        <v>17</v>
      </c>
      <c r="H204" t="s">
        <v>29</v>
      </c>
      <c r="I204">
        <v>2</v>
      </c>
      <c r="J204">
        <v>110.65</v>
      </c>
      <c r="K204">
        <v>221.3</v>
      </c>
    </row>
    <row r="205" spans="1:11" x14ac:dyDescent="0.35">
      <c r="A205" t="s">
        <v>274</v>
      </c>
      <c r="B205" t="s">
        <v>88</v>
      </c>
      <c r="C205" t="s">
        <v>58</v>
      </c>
      <c r="D205" t="s">
        <v>22</v>
      </c>
      <c r="E205" t="s">
        <v>39</v>
      </c>
      <c r="F205" t="s">
        <v>47</v>
      </c>
      <c r="G205" t="s">
        <v>74</v>
      </c>
      <c r="H205" t="s">
        <v>18</v>
      </c>
      <c r="I205">
        <v>7</v>
      </c>
      <c r="J205">
        <v>109.94</v>
      </c>
      <c r="K205">
        <v>769.58</v>
      </c>
    </row>
    <row r="206" spans="1:11" x14ac:dyDescent="0.35">
      <c r="A206" t="s">
        <v>275</v>
      </c>
      <c r="B206" t="s">
        <v>26</v>
      </c>
      <c r="C206" t="s">
        <v>66</v>
      </c>
      <c r="D206" t="s">
        <v>67</v>
      </c>
      <c r="E206" t="s">
        <v>44</v>
      </c>
      <c r="F206" t="s">
        <v>16</v>
      </c>
      <c r="G206" t="s">
        <v>24</v>
      </c>
      <c r="H206" t="s">
        <v>29</v>
      </c>
      <c r="I206">
        <v>2</v>
      </c>
      <c r="J206">
        <v>41.37</v>
      </c>
      <c r="K206">
        <v>82.74</v>
      </c>
    </row>
    <row r="207" spans="1:11" x14ac:dyDescent="0.35">
      <c r="A207" t="s">
        <v>276</v>
      </c>
      <c r="B207" t="s">
        <v>107</v>
      </c>
      <c r="C207" t="s">
        <v>58</v>
      </c>
      <c r="D207" t="s">
        <v>22</v>
      </c>
      <c r="E207" t="s">
        <v>44</v>
      </c>
      <c r="F207" t="s">
        <v>40</v>
      </c>
      <c r="G207" t="s">
        <v>74</v>
      </c>
      <c r="H207" t="s">
        <v>29</v>
      </c>
      <c r="I207">
        <v>6</v>
      </c>
      <c r="J207">
        <v>113.8</v>
      </c>
      <c r="K207">
        <v>682.8</v>
      </c>
    </row>
    <row r="208" spans="1:11" x14ac:dyDescent="0.35">
      <c r="A208" t="s">
        <v>277</v>
      </c>
      <c r="B208" t="s">
        <v>42</v>
      </c>
      <c r="C208" t="s">
        <v>38</v>
      </c>
      <c r="D208" t="s">
        <v>14</v>
      </c>
      <c r="E208" t="s">
        <v>39</v>
      </c>
      <c r="F208" t="s">
        <v>40</v>
      </c>
      <c r="G208" t="s">
        <v>48</v>
      </c>
      <c r="H208" t="s">
        <v>29</v>
      </c>
      <c r="I208">
        <v>1</v>
      </c>
      <c r="J208">
        <v>41.42</v>
      </c>
      <c r="K208">
        <v>41.42</v>
      </c>
    </row>
    <row r="209" spans="1:11" x14ac:dyDescent="0.35">
      <c r="A209" t="s">
        <v>278</v>
      </c>
      <c r="B209" t="s">
        <v>20</v>
      </c>
      <c r="C209" t="s">
        <v>58</v>
      </c>
      <c r="D209" t="s">
        <v>22</v>
      </c>
      <c r="E209" t="s">
        <v>44</v>
      </c>
      <c r="F209" t="s">
        <v>47</v>
      </c>
      <c r="G209" t="s">
        <v>35</v>
      </c>
      <c r="H209" t="s">
        <v>18</v>
      </c>
      <c r="I209">
        <v>2</v>
      </c>
      <c r="J209">
        <v>118.08</v>
      </c>
      <c r="K209">
        <v>236.16</v>
      </c>
    </row>
    <row r="210" spans="1:11" x14ac:dyDescent="0.35">
      <c r="A210" t="s">
        <v>279</v>
      </c>
      <c r="B210" t="s">
        <v>37</v>
      </c>
      <c r="C210" t="s">
        <v>43</v>
      </c>
      <c r="D210" t="s">
        <v>33</v>
      </c>
      <c r="E210" t="s">
        <v>39</v>
      </c>
      <c r="F210" t="s">
        <v>40</v>
      </c>
      <c r="G210" t="s">
        <v>74</v>
      </c>
      <c r="H210" t="s">
        <v>18</v>
      </c>
      <c r="I210">
        <v>7</v>
      </c>
      <c r="J210">
        <v>4.8499999999999996</v>
      </c>
      <c r="K210">
        <v>33.950000000000003</v>
      </c>
    </row>
    <row r="211" spans="1:11" x14ac:dyDescent="0.35">
      <c r="A211" t="s">
        <v>280</v>
      </c>
      <c r="B211" t="s">
        <v>57</v>
      </c>
      <c r="C211" t="s">
        <v>43</v>
      </c>
      <c r="D211" t="s">
        <v>33</v>
      </c>
      <c r="E211" t="s">
        <v>39</v>
      </c>
      <c r="F211" t="s">
        <v>16</v>
      </c>
      <c r="G211" t="s">
        <v>48</v>
      </c>
      <c r="H211" t="s">
        <v>29</v>
      </c>
      <c r="I211">
        <v>3</v>
      </c>
      <c r="J211">
        <v>5.3</v>
      </c>
      <c r="K211">
        <v>15.9</v>
      </c>
    </row>
    <row r="212" spans="1:11" x14ac:dyDescent="0.35">
      <c r="A212" t="s">
        <v>281</v>
      </c>
      <c r="B212" t="s">
        <v>65</v>
      </c>
      <c r="C212" t="s">
        <v>27</v>
      </c>
      <c r="D212" t="s">
        <v>14</v>
      </c>
      <c r="E212" t="s">
        <v>63</v>
      </c>
      <c r="F212" t="s">
        <v>47</v>
      </c>
      <c r="G212" t="s">
        <v>74</v>
      </c>
      <c r="H212" t="s">
        <v>18</v>
      </c>
      <c r="I212">
        <v>5</v>
      </c>
      <c r="J212">
        <v>21.23</v>
      </c>
      <c r="K212">
        <v>106.15</v>
      </c>
    </row>
    <row r="213" spans="1:11" x14ac:dyDescent="0.35">
      <c r="A213" t="s">
        <v>282</v>
      </c>
      <c r="B213" t="s">
        <v>97</v>
      </c>
      <c r="C213" t="s">
        <v>32</v>
      </c>
      <c r="D213" t="s">
        <v>33</v>
      </c>
      <c r="E213" t="s">
        <v>39</v>
      </c>
      <c r="F213" t="s">
        <v>23</v>
      </c>
      <c r="G213" t="s">
        <v>48</v>
      </c>
      <c r="H213" t="s">
        <v>29</v>
      </c>
      <c r="I213">
        <v>8</v>
      </c>
      <c r="J213">
        <v>3.3</v>
      </c>
      <c r="K213">
        <v>26.4</v>
      </c>
    </row>
    <row r="214" spans="1:11" x14ac:dyDescent="0.35">
      <c r="A214" t="s">
        <v>283</v>
      </c>
      <c r="B214" t="s">
        <v>94</v>
      </c>
      <c r="C214" t="s">
        <v>38</v>
      </c>
      <c r="D214" t="s">
        <v>14</v>
      </c>
      <c r="E214" t="s">
        <v>15</v>
      </c>
      <c r="F214" t="s">
        <v>23</v>
      </c>
      <c r="G214" t="s">
        <v>24</v>
      </c>
      <c r="H214" t="s">
        <v>18</v>
      </c>
      <c r="I214">
        <v>6</v>
      </c>
      <c r="J214">
        <v>32.17</v>
      </c>
      <c r="K214">
        <v>193.02</v>
      </c>
    </row>
    <row r="215" spans="1:11" x14ac:dyDescent="0.35">
      <c r="A215" t="s">
        <v>284</v>
      </c>
      <c r="B215" t="s">
        <v>73</v>
      </c>
      <c r="C215" t="s">
        <v>43</v>
      </c>
      <c r="D215" t="s">
        <v>33</v>
      </c>
      <c r="E215" t="s">
        <v>44</v>
      </c>
      <c r="F215" t="s">
        <v>23</v>
      </c>
      <c r="G215" t="s">
        <v>48</v>
      </c>
      <c r="H215" t="s">
        <v>18</v>
      </c>
      <c r="I215">
        <v>8</v>
      </c>
      <c r="J215">
        <v>5.49</v>
      </c>
      <c r="K215">
        <v>43.92</v>
      </c>
    </row>
    <row r="216" spans="1:11" x14ac:dyDescent="0.35">
      <c r="A216" t="s">
        <v>285</v>
      </c>
      <c r="B216" t="s">
        <v>88</v>
      </c>
      <c r="C216" t="s">
        <v>38</v>
      </c>
      <c r="D216" t="s">
        <v>14</v>
      </c>
      <c r="E216" t="s">
        <v>63</v>
      </c>
      <c r="F216" t="s">
        <v>23</v>
      </c>
      <c r="G216" t="s">
        <v>17</v>
      </c>
      <c r="H216" t="s">
        <v>29</v>
      </c>
      <c r="I216">
        <v>2</v>
      </c>
      <c r="J216">
        <v>39.86</v>
      </c>
      <c r="K216">
        <v>79.72</v>
      </c>
    </row>
    <row r="217" spans="1:11" x14ac:dyDescent="0.35">
      <c r="A217" t="s">
        <v>286</v>
      </c>
      <c r="B217" t="s">
        <v>31</v>
      </c>
      <c r="C217" t="s">
        <v>66</v>
      </c>
      <c r="D217" t="s">
        <v>67</v>
      </c>
      <c r="E217" t="s">
        <v>44</v>
      </c>
      <c r="F217" t="s">
        <v>28</v>
      </c>
      <c r="G217" t="s">
        <v>48</v>
      </c>
      <c r="H217" t="s">
        <v>29</v>
      </c>
      <c r="I217">
        <v>8</v>
      </c>
      <c r="J217">
        <v>41.67</v>
      </c>
      <c r="K217">
        <v>333.36</v>
      </c>
    </row>
    <row r="218" spans="1:11" x14ac:dyDescent="0.35">
      <c r="A218" t="s">
        <v>287</v>
      </c>
      <c r="B218" t="s">
        <v>84</v>
      </c>
      <c r="C218" t="s">
        <v>21</v>
      </c>
      <c r="D218" t="s">
        <v>22</v>
      </c>
      <c r="E218" t="s">
        <v>63</v>
      </c>
      <c r="F218" t="s">
        <v>40</v>
      </c>
      <c r="G218" t="s">
        <v>48</v>
      </c>
      <c r="H218" t="s">
        <v>18</v>
      </c>
      <c r="I218">
        <v>5</v>
      </c>
      <c r="J218">
        <v>295.64</v>
      </c>
      <c r="K218">
        <v>1478.2</v>
      </c>
    </row>
    <row r="219" spans="1:11" x14ac:dyDescent="0.35">
      <c r="A219" t="s">
        <v>288</v>
      </c>
      <c r="B219" t="s">
        <v>107</v>
      </c>
      <c r="C219" t="s">
        <v>55</v>
      </c>
      <c r="D219" t="s">
        <v>14</v>
      </c>
      <c r="E219" t="s">
        <v>63</v>
      </c>
      <c r="F219" t="s">
        <v>34</v>
      </c>
      <c r="G219" t="s">
        <v>24</v>
      </c>
      <c r="H219" t="s">
        <v>29</v>
      </c>
      <c r="I219">
        <v>9</v>
      </c>
      <c r="J219">
        <v>725.27</v>
      </c>
      <c r="K219">
        <v>6527.43</v>
      </c>
    </row>
    <row r="220" spans="1:11" x14ac:dyDescent="0.35">
      <c r="A220" t="s">
        <v>289</v>
      </c>
      <c r="B220" t="s">
        <v>107</v>
      </c>
      <c r="C220" t="s">
        <v>38</v>
      </c>
      <c r="D220" t="s">
        <v>14</v>
      </c>
      <c r="E220" t="s">
        <v>63</v>
      </c>
      <c r="F220" t="s">
        <v>47</v>
      </c>
      <c r="G220" t="s">
        <v>17</v>
      </c>
      <c r="H220" t="s">
        <v>29</v>
      </c>
      <c r="I220">
        <v>1</v>
      </c>
      <c r="J220">
        <v>33.229999999999997</v>
      </c>
      <c r="K220">
        <v>33.229999999999997</v>
      </c>
    </row>
    <row r="221" spans="1:11" x14ac:dyDescent="0.35">
      <c r="A221" t="s">
        <v>290</v>
      </c>
      <c r="B221" t="s">
        <v>111</v>
      </c>
      <c r="C221" t="s">
        <v>13</v>
      </c>
      <c r="D221" t="s">
        <v>14</v>
      </c>
      <c r="E221" t="s">
        <v>63</v>
      </c>
      <c r="F221" t="s">
        <v>40</v>
      </c>
      <c r="G221" t="s">
        <v>45</v>
      </c>
      <c r="H221" t="s">
        <v>18</v>
      </c>
      <c r="I221">
        <v>7</v>
      </c>
      <c r="J221">
        <v>143.9</v>
      </c>
      <c r="K221">
        <v>1007.3</v>
      </c>
    </row>
    <row r="222" spans="1:11" x14ac:dyDescent="0.35">
      <c r="A222" t="s">
        <v>291</v>
      </c>
      <c r="B222" t="s">
        <v>37</v>
      </c>
      <c r="C222" t="s">
        <v>27</v>
      </c>
      <c r="D222" t="s">
        <v>14</v>
      </c>
      <c r="E222" t="s">
        <v>39</v>
      </c>
      <c r="F222" t="s">
        <v>47</v>
      </c>
      <c r="G222" t="s">
        <v>17</v>
      </c>
      <c r="H222" t="s">
        <v>29</v>
      </c>
      <c r="I222">
        <v>6</v>
      </c>
      <c r="J222">
        <v>20.74</v>
      </c>
      <c r="K222">
        <v>124.44</v>
      </c>
    </row>
    <row r="223" spans="1:11" x14ac:dyDescent="0.35">
      <c r="A223" t="s">
        <v>292</v>
      </c>
      <c r="B223" t="s">
        <v>111</v>
      </c>
      <c r="C223" t="s">
        <v>66</v>
      </c>
      <c r="D223" t="s">
        <v>67</v>
      </c>
      <c r="E223" t="s">
        <v>39</v>
      </c>
      <c r="F223" t="s">
        <v>40</v>
      </c>
      <c r="G223" t="s">
        <v>48</v>
      </c>
      <c r="H223" t="s">
        <v>18</v>
      </c>
      <c r="I223">
        <v>4</v>
      </c>
      <c r="J223">
        <v>40.44</v>
      </c>
      <c r="K223">
        <v>161.76</v>
      </c>
    </row>
    <row r="224" spans="1:11" x14ac:dyDescent="0.35">
      <c r="A224" t="s">
        <v>293</v>
      </c>
      <c r="B224" t="s">
        <v>128</v>
      </c>
      <c r="C224" t="s">
        <v>66</v>
      </c>
      <c r="D224" t="s">
        <v>67</v>
      </c>
      <c r="E224" t="s">
        <v>39</v>
      </c>
      <c r="F224" t="s">
        <v>28</v>
      </c>
      <c r="G224" t="s">
        <v>35</v>
      </c>
      <c r="H224" t="s">
        <v>29</v>
      </c>
      <c r="I224">
        <v>1</v>
      </c>
      <c r="J224">
        <v>47.55</v>
      </c>
      <c r="K224">
        <v>47.55</v>
      </c>
    </row>
    <row r="225" spans="1:11" x14ac:dyDescent="0.35">
      <c r="A225" t="s">
        <v>294</v>
      </c>
      <c r="B225" t="s">
        <v>90</v>
      </c>
      <c r="C225" t="s">
        <v>21</v>
      </c>
      <c r="D225" t="s">
        <v>22</v>
      </c>
      <c r="E225" t="s">
        <v>15</v>
      </c>
      <c r="F225" t="s">
        <v>23</v>
      </c>
      <c r="G225" t="s">
        <v>17</v>
      </c>
      <c r="H225" t="s">
        <v>18</v>
      </c>
      <c r="I225">
        <v>7</v>
      </c>
      <c r="J225">
        <v>282.42</v>
      </c>
      <c r="K225">
        <v>1976.94</v>
      </c>
    </row>
    <row r="226" spans="1:11" x14ac:dyDescent="0.35">
      <c r="A226" t="s">
        <v>295</v>
      </c>
      <c r="B226" t="s">
        <v>50</v>
      </c>
      <c r="C226" t="s">
        <v>66</v>
      </c>
      <c r="D226" t="s">
        <v>67</v>
      </c>
      <c r="E226" t="s">
        <v>63</v>
      </c>
      <c r="F226" t="s">
        <v>47</v>
      </c>
      <c r="G226" t="s">
        <v>35</v>
      </c>
      <c r="H226" t="s">
        <v>18</v>
      </c>
      <c r="I226">
        <v>5</v>
      </c>
      <c r="J226">
        <v>39.35</v>
      </c>
      <c r="K226">
        <v>196.75</v>
      </c>
    </row>
    <row r="227" spans="1:11" x14ac:dyDescent="0.35">
      <c r="A227" t="s">
        <v>296</v>
      </c>
      <c r="B227" t="s">
        <v>50</v>
      </c>
      <c r="C227" t="s">
        <v>27</v>
      </c>
      <c r="D227" t="s">
        <v>14</v>
      </c>
      <c r="E227" t="s">
        <v>63</v>
      </c>
      <c r="F227" t="s">
        <v>40</v>
      </c>
      <c r="G227" t="s">
        <v>24</v>
      </c>
      <c r="H227" t="s">
        <v>29</v>
      </c>
      <c r="I227">
        <v>2</v>
      </c>
      <c r="J227">
        <v>20.99</v>
      </c>
      <c r="K227">
        <v>41.98</v>
      </c>
    </row>
    <row r="228" spans="1:11" x14ac:dyDescent="0.35">
      <c r="A228" t="s">
        <v>297</v>
      </c>
      <c r="B228" t="s">
        <v>31</v>
      </c>
      <c r="C228" t="s">
        <v>58</v>
      </c>
      <c r="D228" t="s">
        <v>22</v>
      </c>
      <c r="E228" t="s">
        <v>44</v>
      </c>
      <c r="F228" t="s">
        <v>40</v>
      </c>
      <c r="G228" t="s">
        <v>17</v>
      </c>
      <c r="H228" t="s">
        <v>29</v>
      </c>
      <c r="I228">
        <v>5</v>
      </c>
      <c r="J228">
        <v>131.81</v>
      </c>
      <c r="K228">
        <v>659.05</v>
      </c>
    </row>
    <row r="229" spans="1:11" x14ac:dyDescent="0.35">
      <c r="A229" t="s">
        <v>298</v>
      </c>
      <c r="B229" t="s">
        <v>54</v>
      </c>
      <c r="C229" t="s">
        <v>21</v>
      </c>
      <c r="D229" t="s">
        <v>22</v>
      </c>
      <c r="E229" t="s">
        <v>39</v>
      </c>
      <c r="F229" t="s">
        <v>23</v>
      </c>
      <c r="G229" t="s">
        <v>24</v>
      </c>
      <c r="H229" t="s">
        <v>29</v>
      </c>
      <c r="I229">
        <v>3</v>
      </c>
      <c r="J229">
        <v>273.74</v>
      </c>
      <c r="K229">
        <v>821.22</v>
      </c>
    </row>
    <row r="230" spans="1:11" x14ac:dyDescent="0.35">
      <c r="A230" t="s">
        <v>299</v>
      </c>
      <c r="B230" t="s">
        <v>69</v>
      </c>
      <c r="C230" t="s">
        <v>55</v>
      </c>
      <c r="D230" t="s">
        <v>14</v>
      </c>
      <c r="E230" t="s">
        <v>15</v>
      </c>
      <c r="F230" t="s">
        <v>16</v>
      </c>
      <c r="G230" t="s">
        <v>17</v>
      </c>
      <c r="H230" t="s">
        <v>29</v>
      </c>
      <c r="I230">
        <v>2</v>
      </c>
      <c r="J230">
        <v>790.51</v>
      </c>
      <c r="K230">
        <v>1581.02</v>
      </c>
    </row>
    <row r="231" spans="1:11" x14ac:dyDescent="0.35">
      <c r="A231" t="s">
        <v>300</v>
      </c>
      <c r="B231" t="s">
        <v>118</v>
      </c>
      <c r="C231" t="s">
        <v>13</v>
      </c>
      <c r="D231" t="s">
        <v>14</v>
      </c>
      <c r="E231" t="s">
        <v>44</v>
      </c>
      <c r="F231" t="s">
        <v>23</v>
      </c>
      <c r="G231" t="s">
        <v>24</v>
      </c>
      <c r="H231" t="s">
        <v>29</v>
      </c>
      <c r="I231">
        <v>2</v>
      </c>
      <c r="J231">
        <v>148.94</v>
      </c>
      <c r="K231">
        <v>297.88</v>
      </c>
    </row>
    <row r="232" spans="1:11" x14ac:dyDescent="0.35">
      <c r="A232" t="s">
        <v>301</v>
      </c>
      <c r="B232" t="s">
        <v>88</v>
      </c>
      <c r="C232" t="s">
        <v>66</v>
      </c>
      <c r="D232" t="s">
        <v>67</v>
      </c>
      <c r="E232" t="s">
        <v>63</v>
      </c>
      <c r="F232" t="s">
        <v>23</v>
      </c>
      <c r="G232" t="s">
        <v>45</v>
      </c>
      <c r="H232" t="s">
        <v>29</v>
      </c>
      <c r="I232">
        <v>7</v>
      </c>
      <c r="J232">
        <v>41.87</v>
      </c>
      <c r="K232">
        <v>293.08999999999997</v>
      </c>
    </row>
    <row r="233" spans="1:11" x14ac:dyDescent="0.35">
      <c r="A233" t="s">
        <v>302</v>
      </c>
      <c r="B233" t="s">
        <v>124</v>
      </c>
      <c r="C233" t="s">
        <v>55</v>
      </c>
      <c r="D233" t="s">
        <v>14</v>
      </c>
      <c r="E233" t="s">
        <v>15</v>
      </c>
      <c r="F233" t="s">
        <v>23</v>
      </c>
      <c r="G233" t="s">
        <v>74</v>
      </c>
      <c r="H233" t="s">
        <v>18</v>
      </c>
      <c r="I233">
        <v>8</v>
      </c>
      <c r="J233">
        <v>800.44</v>
      </c>
      <c r="K233">
        <v>6403.52</v>
      </c>
    </row>
    <row r="234" spans="1:11" x14ac:dyDescent="0.35">
      <c r="A234" t="s">
        <v>303</v>
      </c>
      <c r="B234" t="s">
        <v>147</v>
      </c>
      <c r="C234" t="s">
        <v>55</v>
      </c>
      <c r="D234" t="s">
        <v>14</v>
      </c>
      <c r="E234" t="s">
        <v>39</v>
      </c>
      <c r="F234" t="s">
        <v>28</v>
      </c>
      <c r="G234" t="s">
        <v>74</v>
      </c>
      <c r="H234" t="s">
        <v>29</v>
      </c>
      <c r="I234">
        <v>6</v>
      </c>
      <c r="J234">
        <v>646.54</v>
      </c>
      <c r="K234">
        <v>3879.24</v>
      </c>
    </row>
    <row r="235" spans="1:11" x14ac:dyDescent="0.35">
      <c r="A235" t="s">
        <v>304</v>
      </c>
      <c r="B235" t="s">
        <v>124</v>
      </c>
      <c r="C235" t="s">
        <v>13</v>
      </c>
      <c r="D235" t="s">
        <v>14</v>
      </c>
      <c r="E235" t="s">
        <v>15</v>
      </c>
      <c r="F235" t="s">
        <v>40</v>
      </c>
      <c r="G235" t="s">
        <v>74</v>
      </c>
      <c r="H235" t="s">
        <v>18</v>
      </c>
      <c r="I235">
        <v>5</v>
      </c>
      <c r="J235">
        <v>148.69999999999999</v>
      </c>
      <c r="K235">
        <v>743.5</v>
      </c>
    </row>
    <row r="236" spans="1:11" x14ac:dyDescent="0.35">
      <c r="A236" t="s">
        <v>305</v>
      </c>
      <c r="B236" t="s">
        <v>107</v>
      </c>
      <c r="C236" t="s">
        <v>13</v>
      </c>
      <c r="D236" t="s">
        <v>14</v>
      </c>
      <c r="E236" t="s">
        <v>39</v>
      </c>
      <c r="F236" t="s">
        <v>34</v>
      </c>
      <c r="G236" t="s">
        <v>74</v>
      </c>
      <c r="H236" t="s">
        <v>18</v>
      </c>
      <c r="I236">
        <v>3</v>
      </c>
      <c r="J236">
        <v>155.58000000000001</v>
      </c>
      <c r="K236">
        <v>466.74</v>
      </c>
    </row>
    <row r="237" spans="1:11" x14ac:dyDescent="0.35">
      <c r="A237" t="s">
        <v>306</v>
      </c>
      <c r="B237" t="s">
        <v>111</v>
      </c>
      <c r="C237" t="s">
        <v>58</v>
      </c>
      <c r="D237" t="s">
        <v>22</v>
      </c>
      <c r="E237" t="s">
        <v>44</v>
      </c>
      <c r="F237" t="s">
        <v>34</v>
      </c>
      <c r="G237" t="s">
        <v>24</v>
      </c>
      <c r="H237" t="s">
        <v>18</v>
      </c>
      <c r="I237">
        <v>10</v>
      </c>
      <c r="J237">
        <v>143.63</v>
      </c>
      <c r="K237">
        <v>1436.3</v>
      </c>
    </row>
    <row r="238" spans="1:11" x14ac:dyDescent="0.35">
      <c r="A238" t="s">
        <v>307</v>
      </c>
      <c r="B238" t="s">
        <v>31</v>
      </c>
      <c r="C238" t="s">
        <v>13</v>
      </c>
      <c r="D238" t="s">
        <v>14</v>
      </c>
      <c r="E238" t="s">
        <v>15</v>
      </c>
      <c r="F238" t="s">
        <v>34</v>
      </c>
      <c r="G238" t="s">
        <v>48</v>
      </c>
      <c r="H238" t="s">
        <v>29</v>
      </c>
      <c r="I238">
        <v>8</v>
      </c>
      <c r="J238">
        <v>178.68</v>
      </c>
      <c r="K238">
        <v>1429.44</v>
      </c>
    </row>
    <row r="239" spans="1:11" x14ac:dyDescent="0.35">
      <c r="A239" t="s">
        <v>308</v>
      </c>
      <c r="B239" t="s">
        <v>12</v>
      </c>
      <c r="C239" t="s">
        <v>66</v>
      </c>
      <c r="D239" t="s">
        <v>67</v>
      </c>
      <c r="E239" t="s">
        <v>39</v>
      </c>
      <c r="F239" t="s">
        <v>23</v>
      </c>
      <c r="G239" t="s">
        <v>35</v>
      </c>
      <c r="H239" t="s">
        <v>18</v>
      </c>
      <c r="I239">
        <v>6</v>
      </c>
      <c r="J239">
        <v>41.22</v>
      </c>
      <c r="K239">
        <v>247.32</v>
      </c>
    </row>
    <row r="240" spans="1:11" x14ac:dyDescent="0.35">
      <c r="A240" t="s">
        <v>309</v>
      </c>
      <c r="B240" t="s">
        <v>90</v>
      </c>
      <c r="C240" t="s">
        <v>27</v>
      </c>
      <c r="D240" t="s">
        <v>14</v>
      </c>
      <c r="E240" t="s">
        <v>63</v>
      </c>
      <c r="F240" t="s">
        <v>34</v>
      </c>
      <c r="G240" t="s">
        <v>45</v>
      </c>
      <c r="H240" t="s">
        <v>29</v>
      </c>
      <c r="I240">
        <v>10</v>
      </c>
      <c r="J240">
        <v>21.14</v>
      </c>
      <c r="K240">
        <v>211.4</v>
      </c>
    </row>
    <row r="241" spans="1:11" x14ac:dyDescent="0.35">
      <c r="A241" t="s">
        <v>310</v>
      </c>
      <c r="B241" t="s">
        <v>102</v>
      </c>
      <c r="C241" t="s">
        <v>13</v>
      </c>
      <c r="D241" t="s">
        <v>14</v>
      </c>
      <c r="E241" t="s">
        <v>15</v>
      </c>
      <c r="F241" t="s">
        <v>47</v>
      </c>
      <c r="G241" t="s">
        <v>35</v>
      </c>
      <c r="H241" t="s">
        <v>29</v>
      </c>
      <c r="I241">
        <v>9</v>
      </c>
      <c r="J241">
        <v>179.05</v>
      </c>
      <c r="K241">
        <v>1611.45</v>
      </c>
    </row>
    <row r="242" spans="1:11" x14ac:dyDescent="0.35">
      <c r="A242" t="s">
        <v>311</v>
      </c>
      <c r="B242" t="s">
        <v>73</v>
      </c>
      <c r="C242" t="s">
        <v>61</v>
      </c>
      <c r="D242" t="s">
        <v>14</v>
      </c>
      <c r="E242" t="s">
        <v>15</v>
      </c>
      <c r="F242" t="s">
        <v>23</v>
      </c>
      <c r="G242" t="s">
        <v>45</v>
      </c>
      <c r="H242" t="s">
        <v>29</v>
      </c>
      <c r="I242">
        <v>7</v>
      </c>
      <c r="J242">
        <v>200.28</v>
      </c>
      <c r="K242">
        <v>1401.96</v>
      </c>
    </row>
    <row r="243" spans="1:11" x14ac:dyDescent="0.35">
      <c r="A243" t="s">
        <v>312</v>
      </c>
      <c r="B243" t="s">
        <v>31</v>
      </c>
      <c r="C243" t="s">
        <v>27</v>
      </c>
      <c r="D243" t="s">
        <v>14</v>
      </c>
      <c r="E243" t="s">
        <v>15</v>
      </c>
      <c r="F243" t="s">
        <v>28</v>
      </c>
      <c r="G243" t="s">
        <v>74</v>
      </c>
      <c r="H243" t="s">
        <v>18</v>
      </c>
      <c r="I243">
        <v>8</v>
      </c>
      <c r="J243">
        <v>20.64</v>
      </c>
      <c r="K243">
        <v>165.12</v>
      </c>
    </row>
    <row r="244" spans="1:11" x14ac:dyDescent="0.35">
      <c r="A244" t="s">
        <v>313</v>
      </c>
      <c r="B244" t="s">
        <v>107</v>
      </c>
      <c r="C244" t="s">
        <v>13</v>
      </c>
      <c r="D244" t="s">
        <v>14</v>
      </c>
      <c r="E244" t="s">
        <v>15</v>
      </c>
      <c r="F244" t="s">
        <v>40</v>
      </c>
      <c r="G244" t="s">
        <v>17</v>
      </c>
      <c r="H244" t="s">
        <v>18</v>
      </c>
      <c r="I244">
        <v>7</v>
      </c>
      <c r="J244">
        <v>166.98</v>
      </c>
      <c r="K244">
        <v>1168.8599999999999</v>
      </c>
    </row>
    <row r="245" spans="1:11" x14ac:dyDescent="0.35">
      <c r="A245" t="s">
        <v>314</v>
      </c>
      <c r="B245" t="s">
        <v>71</v>
      </c>
      <c r="C245" t="s">
        <v>38</v>
      </c>
      <c r="D245" t="s">
        <v>14</v>
      </c>
      <c r="E245" t="s">
        <v>44</v>
      </c>
      <c r="F245" t="s">
        <v>16</v>
      </c>
      <c r="G245" t="s">
        <v>45</v>
      </c>
      <c r="H245" t="s">
        <v>18</v>
      </c>
      <c r="I245">
        <v>3</v>
      </c>
      <c r="J245">
        <v>40.39</v>
      </c>
      <c r="K245">
        <v>121.17</v>
      </c>
    </row>
    <row r="246" spans="1:11" x14ac:dyDescent="0.35">
      <c r="A246" t="s">
        <v>315</v>
      </c>
      <c r="B246" t="s">
        <v>124</v>
      </c>
      <c r="C246" t="s">
        <v>66</v>
      </c>
      <c r="D246" t="s">
        <v>67</v>
      </c>
      <c r="E246" t="s">
        <v>39</v>
      </c>
      <c r="F246" t="s">
        <v>16</v>
      </c>
      <c r="G246" t="s">
        <v>48</v>
      </c>
      <c r="H246" t="s">
        <v>18</v>
      </c>
      <c r="I246">
        <v>4</v>
      </c>
      <c r="J246">
        <v>44.56</v>
      </c>
      <c r="K246">
        <v>178.24</v>
      </c>
    </row>
    <row r="247" spans="1:11" x14ac:dyDescent="0.35">
      <c r="A247" t="s">
        <v>316</v>
      </c>
      <c r="B247" t="s">
        <v>84</v>
      </c>
      <c r="C247" t="s">
        <v>21</v>
      </c>
      <c r="D247" t="s">
        <v>22</v>
      </c>
      <c r="E247" t="s">
        <v>44</v>
      </c>
      <c r="F247" t="s">
        <v>23</v>
      </c>
      <c r="G247" t="s">
        <v>45</v>
      </c>
      <c r="H247" t="s">
        <v>18</v>
      </c>
      <c r="I247">
        <v>5</v>
      </c>
      <c r="J247">
        <v>280.10000000000002</v>
      </c>
      <c r="K247">
        <v>1400.5</v>
      </c>
    </row>
    <row r="248" spans="1:11" x14ac:dyDescent="0.35">
      <c r="A248" t="s">
        <v>317</v>
      </c>
      <c r="B248" t="s">
        <v>88</v>
      </c>
      <c r="C248" t="s">
        <v>27</v>
      </c>
      <c r="D248" t="s">
        <v>14</v>
      </c>
      <c r="E248" t="s">
        <v>63</v>
      </c>
      <c r="F248" t="s">
        <v>23</v>
      </c>
      <c r="G248" t="s">
        <v>24</v>
      </c>
      <c r="H248" t="s">
        <v>18</v>
      </c>
      <c r="I248">
        <v>1</v>
      </c>
      <c r="J248">
        <v>23.54</v>
      </c>
      <c r="K248">
        <v>23.54</v>
      </c>
    </row>
    <row r="249" spans="1:11" x14ac:dyDescent="0.35">
      <c r="A249" t="s">
        <v>318</v>
      </c>
      <c r="B249" t="s">
        <v>60</v>
      </c>
      <c r="C249" t="s">
        <v>66</v>
      </c>
      <c r="D249" t="s">
        <v>67</v>
      </c>
      <c r="E249" t="s">
        <v>63</v>
      </c>
      <c r="F249" t="s">
        <v>16</v>
      </c>
      <c r="G249" t="s">
        <v>74</v>
      </c>
      <c r="H249" t="s">
        <v>29</v>
      </c>
      <c r="I249">
        <v>6</v>
      </c>
      <c r="J249">
        <v>47.8</v>
      </c>
      <c r="K249">
        <v>286.8</v>
      </c>
    </row>
    <row r="250" spans="1:11" x14ac:dyDescent="0.35">
      <c r="A250" t="s">
        <v>319</v>
      </c>
      <c r="B250" t="s">
        <v>57</v>
      </c>
      <c r="C250" t="s">
        <v>21</v>
      </c>
      <c r="D250" t="s">
        <v>22</v>
      </c>
      <c r="E250" t="s">
        <v>44</v>
      </c>
      <c r="F250" t="s">
        <v>28</v>
      </c>
      <c r="G250" t="s">
        <v>48</v>
      </c>
      <c r="H250" t="s">
        <v>18</v>
      </c>
      <c r="I250">
        <v>9</v>
      </c>
      <c r="J250">
        <v>238.23</v>
      </c>
      <c r="K250">
        <v>2144.0700000000002</v>
      </c>
    </row>
    <row r="251" spans="1:11" x14ac:dyDescent="0.35">
      <c r="A251" t="s">
        <v>320</v>
      </c>
      <c r="B251" t="s">
        <v>42</v>
      </c>
      <c r="C251" t="s">
        <v>32</v>
      </c>
      <c r="D251" t="s">
        <v>33</v>
      </c>
      <c r="E251" t="s">
        <v>39</v>
      </c>
      <c r="F251" t="s">
        <v>23</v>
      </c>
      <c r="G251" t="s">
        <v>35</v>
      </c>
      <c r="H251" t="s">
        <v>18</v>
      </c>
      <c r="I251">
        <v>4</v>
      </c>
      <c r="J251">
        <v>2.95</v>
      </c>
      <c r="K251">
        <v>11.8</v>
      </c>
    </row>
    <row r="252" spans="1:11" x14ac:dyDescent="0.35">
      <c r="A252" t="s">
        <v>321</v>
      </c>
      <c r="B252" t="s">
        <v>54</v>
      </c>
      <c r="C252" t="s">
        <v>32</v>
      </c>
      <c r="D252" t="s">
        <v>33</v>
      </c>
      <c r="E252" t="s">
        <v>44</v>
      </c>
      <c r="F252" t="s">
        <v>28</v>
      </c>
      <c r="G252" t="s">
        <v>35</v>
      </c>
      <c r="H252" t="s">
        <v>29</v>
      </c>
      <c r="I252">
        <v>4</v>
      </c>
      <c r="J252">
        <v>3.27</v>
      </c>
      <c r="K252">
        <v>13.08</v>
      </c>
    </row>
    <row r="253" spans="1:11" x14ac:dyDescent="0.35">
      <c r="A253" t="s">
        <v>322</v>
      </c>
      <c r="B253" t="s">
        <v>50</v>
      </c>
      <c r="C253" t="s">
        <v>66</v>
      </c>
      <c r="D253" t="s">
        <v>67</v>
      </c>
      <c r="E253" t="s">
        <v>15</v>
      </c>
      <c r="F253" t="s">
        <v>47</v>
      </c>
      <c r="G253" t="s">
        <v>45</v>
      </c>
      <c r="H253" t="s">
        <v>29</v>
      </c>
      <c r="I253">
        <v>10</v>
      </c>
      <c r="J253">
        <v>44.81</v>
      </c>
      <c r="K253">
        <v>448.1</v>
      </c>
    </row>
    <row r="254" spans="1:11" x14ac:dyDescent="0.35">
      <c r="A254" t="s">
        <v>323</v>
      </c>
      <c r="B254" t="s">
        <v>84</v>
      </c>
      <c r="C254" t="s">
        <v>58</v>
      </c>
      <c r="D254" t="s">
        <v>22</v>
      </c>
      <c r="E254" t="s">
        <v>63</v>
      </c>
      <c r="F254" t="s">
        <v>16</v>
      </c>
      <c r="G254" t="s">
        <v>35</v>
      </c>
      <c r="H254" t="s">
        <v>18</v>
      </c>
      <c r="I254">
        <v>8</v>
      </c>
      <c r="J254">
        <v>127.8</v>
      </c>
      <c r="K254">
        <v>1022.4</v>
      </c>
    </row>
    <row r="255" spans="1:11" x14ac:dyDescent="0.35">
      <c r="A255" t="s">
        <v>324</v>
      </c>
      <c r="B255" t="s">
        <v>73</v>
      </c>
      <c r="C255" t="s">
        <v>61</v>
      </c>
      <c r="D255" t="s">
        <v>14</v>
      </c>
      <c r="E255" t="s">
        <v>39</v>
      </c>
      <c r="F255" t="s">
        <v>23</v>
      </c>
      <c r="G255" t="s">
        <v>24</v>
      </c>
      <c r="H255" t="s">
        <v>18</v>
      </c>
      <c r="I255">
        <v>3</v>
      </c>
      <c r="J255">
        <v>164.25</v>
      </c>
      <c r="K255">
        <v>492.75</v>
      </c>
    </row>
    <row r="256" spans="1:11" x14ac:dyDescent="0.35">
      <c r="A256" t="s">
        <v>325</v>
      </c>
      <c r="B256" t="s">
        <v>111</v>
      </c>
      <c r="C256" t="s">
        <v>27</v>
      </c>
      <c r="D256" t="s">
        <v>14</v>
      </c>
      <c r="E256" t="s">
        <v>39</v>
      </c>
      <c r="F256" t="s">
        <v>34</v>
      </c>
      <c r="G256" t="s">
        <v>48</v>
      </c>
      <c r="H256" t="s">
        <v>18</v>
      </c>
      <c r="I256">
        <v>2</v>
      </c>
      <c r="J256">
        <v>23.13</v>
      </c>
      <c r="K256">
        <v>46.26</v>
      </c>
    </row>
    <row r="257" spans="1:11" x14ac:dyDescent="0.35">
      <c r="A257" t="s">
        <v>326</v>
      </c>
      <c r="B257" t="s">
        <v>50</v>
      </c>
      <c r="C257" t="s">
        <v>55</v>
      </c>
      <c r="D257" t="s">
        <v>14</v>
      </c>
      <c r="E257" t="s">
        <v>15</v>
      </c>
      <c r="F257" t="s">
        <v>16</v>
      </c>
      <c r="G257" t="s">
        <v>48</v>
      </c>
      <c r="H257" t="s">
        <v>29</v>
      </c>
      <c r="I257">
        <v>9</v>
      </c>
      <c r="J257">
        <v>662</v>
      </c>
      <c r="K257">
        <v>5958</v>
      </c>
    </row>
    <row r="258" spans="1:11" x14ac:dyDescent="0.35">
      <c r="A258" t="s">
        <v>327</v>
      </c>
      <c r="B258" t="s">
        <v>118</v>
      </c>
      <c r="C258" t="s">
        <v>32</v>
      </c>
      <c r="D258" t="s">
        <v>33</v>
      </c>
      <c r="E258" t="s">
        <v>15</v>
      </c>
      <c r="F258" t="s">
        <v>23</v>
      </c>
      <c r="G258" t="s">
        <v>35</v>
      </c>
      <c r="H258" t="s">
        <v>18</v>
      </c>
      <c r="I258">
        <v>6</v>
      </c>
      <c r="J258">
        <v>3.41</v>
      </c>
      <c r="K258">
        <v>20.46</v>
      </c>
    </row>
    <row r="259" spans="1:11" x14ac:dyDescent="0.35">
      <c r="A259" t="s">
        <v>328</v>
      </c>
      <c r="B259" t="s">
        <v>65</v>
      </c>
      <c r="C259" t="s">
        <v>58</v>
      </c>
      <c r="D259" t="s">
        <v>22</v>
      </c>
      <c r="E259" t="s">
        <v>44</v>
      </c>
      <c r="F259" t="s">
        <v>16</v>
      </c>
      <c r="G259" t="s">
        <v>35</v>
      </c>
      <c r="H259" t="s">
        <v>29</v>
      </c>
      <c r="I259">
        <v>10</v>
      </c>
      <c r="J259">
        <v>133.74</v>
      </c>
      <c r="K259">
        <v>1337.4</v>
      </c>
    </row>
    <row r="260" spans="1:11" x14ac:dyDescent="0.35">
      <c r="A260" t="s">
        <v>329</v>
      </c>
      <c r="B260" t="s">
        <v>73</v>
      </c>
      <c r="C260" t="s">
        <v>61</v>
      </c>
      <c r="D260" t="s">
        <v>14</v>
      </c>
      <c r="E260" t="s">
        <v>44</v>
      </c>
      <c r="F260" t="s">
        <v>40</v>
      </c>
      <c r="G260" t="s">
        <v>24</v>
      </c>
      <c r="H260" t="s">
        <v>18</v>
      </c>
      <c r="I260">
        <v>5</v>
      </c>
      <c r="J260">
        <v>170.3</v>
      </c>
      <c r="K260">
        <v>851.5</v>
      </c>
    </row>
    <row r="261" spans="1:11" x14ac:dyDescent="0.35">
      <c r="A261" t="s">
        <v>330</v>
      </c>
      <c r="B261" t="s">
        <v>111</v>
      </c>
      <c r="C261" t="s">
        <v>61</v>
      </c>
      <c r="D261" t="s">
        <v>14</v>
      </c>
      <c r="E261" t="s">
        <v>15</v>
      </c>
      <c r="F261" t="s">
        <v>16</v>
      </c>
      <c r="G261" t="s">
        <v>45</v>
      </c>
      <c r="H261" t="s">
        <v>18</v>
      </c>
      <c r="I261">
        <v>3</v>
      </c>
      <c r="J261">
        <v>213.14</v>
      </c>
      <c r="K261">
        <v>639.41999999999996</v>
      </c>
    </row>
    <row r="262" spans="1:11" x14ac:dyDescent="0.35">
      <c r="A262" t="s">
        <v>331</v>
      </c>
      <c r="B262" t="s">
        <v>69</v>
      </c>
      <c r="C262" t="s">
        <v>13</v>
      </c>
      <c r="D262" t="s">
        <v>14</v>
      </c>
      <c r="E262" t="s">
        <v>39</v>
      </c>
      <c r="F262" t="s">
        <v>28</v>
      </c>
      <c r="G262" t="s">
        <v>24</v>
      </c>
      <c r="H262" t="s">
        <v>18</v>
      </c>
      <c r="I262">
        <v>5</v>
      </c>
      <c r="J262">
        <v>159.33000000000001</v>
      </c>
      <c r="K262">
        <v>796.65</v>
      </c>
    </row>
    <row r="263" spans="1:11" x14ac:dyDescent="0.35">
      <c r="A263" t="s">
        <v>332</v>
      </c>
      <c r="B263" t="s">
        <v>73</v>
      </c>
      <c r="C263" t="s">
        <v>38</v>
      </c>
      <c r="D263" t="s">
        <v>14</v>
      </c>
      <c r="E263" t="s">
        <v>63</v>
      </c>
      <c r="F263" t="s">
        <v>28</v>
      </c>
      <c r="G263" t="s">
        <v>45</v>
      </c>
      <c r="H263" t="s">
        <v>29</v>
      </c>
      <c r="I263">
        <v>2</v>
      </c>
      <c r="J263">
        <v>32.619999999999997</v>
      </c>
      <c r="K263">
        <v>65.239999999999995</v>
      </c>
    </row>
    <row r="264" spans="1:11" x14ac:dyDescent="0.35">
      <c r="A264" t="s">
        <v>333</v>
      </c>
      <c r="B264" t="s">
        <v>77</v>
      </c>
      <c r="C264" t="s">
        <v>58</v>
      </c>
      <c r="D264" t="s">
        <v>22</v>
      </c>
      <c r="E264" t="s">
        <v>15</v>
      </c>
      <c r="F264" t="s">
        <v>23</v>
      </c>
      <c r="G264" t="s">
        <v>35</v>
      </c>
      <c r="H264" t="s">
        <v>29</v>
      </c>
      <c r="I264">
        <v>7</v>
      </c>
      <c r="J264">
        <v>115.18</v>
      </c>
      <c r="K264">
        <v>806.26</v>
      </c>
    </row>
    <row r="265" spans="1:11" x14ac:dyDescent="0.35">
      <c r="A265" t="s">
        <v>334</v>
      </c>
      <c r="B265" t="s">
        <v>77</v>
      </c>
      <c r="C265" t="s">
        <v>32</v>
      </c>
      <c r="D265" t="s">
        <v>33</v>
      </c>
      <c r="E265" t="s">
        <v>15</v>
      </c>
      <c r="F265" t="s">
        <v>16</v>
      </c>
      <c r="G265" t="s">
        <v>35</v>
      </c>
      <c r="H265" t="s">
        <v>29</v>
      </c>
      <c r="I265">
        <v>8</v>
      </c>
      <c r="J265">
        <v>3.49</v>
      </c>
      <c r="K265">
        <v>27.92</v>
      </c>
    </row>
    <row r="266" spans="1:11" x14ac:dyDescent="0.35">
      <c r="A266" t="s">
        <v>335</v>
      </c>
      <c r="B266" t="s">
        <v>60</v>
      </c>
      <c r="C266" t="s">
        <v>21</v>
      </c>
      <c r="D266" t="s">
        <v>22</v>
      </c>
      <c r="E266" t="s">
        <v>63</v>
      </c>
      <c r="F266" t="s">
        <v>16</v>
      </c>
      <c r="G266" t="s">
        <v>24</v>
      </c>
      <c r="H266" t="s">
        <v>29</v>
      </c>
      <c r="I266">
        <v>9</v>
      </c>
      <c r="J266">
        <v>296.58</v>
      </c>
      <c r="K266">
        <v>2669.22</v>
      </c>
    </row>
    <row r="267" spans="1:11" x14ac:dyDescent="0.35">
      <c r="A267" t="s">
        <v>336</v>
      </c>
      <c r="B267" t="s">
        <v>60</v>
      </c>
      <c r="C267" t="s">
        <v>58</v>
      </c>
      <c r="D267" t="s">
        <v>22</v>
      </c>
      <c r="E267" t="s">
        <v>39</v>
      </c>
      <c r="F267" t="s">
        <v>23</v>
      </c>
      <c r="G267" t="s">
        <v>35</v>
      </c>
      <c r="H267" t="s">
        <v>18</v>
      </c>
      <c r="I267">
        <v>6</v>
      </c>
      <c r="J267">
        <v>121.19</v>
      </c>
      <c r="K267">
        <v>727.14</v>
      </c>
    </row>
    <row r="268" spans="1:11" x14ac:dyDescent="0.35">
      <c r="A268" t="s">
        <v>337</v>
      </c>
      <c r="B268" t="s">
        <v>90</v>
      </c>
      <c r="C268" t="s">
        <v>43</v>
      </c>
      <c r="D268" t="s">
        <v>33</v>
      </c>
      <c r="E268" t="s">
        <v>44</v>
      </c>
      <c r="F268" t="s">
        <v>47</v>
      </c>
      <c r="G268" t="s">
        <v>24</v>
      </c>
      <c r="H268" t="s">
        <v>29</v>
      </c>
      <c r="I268">
        <v>2</v>
      </c>
      <c r="J268">
        <v>5.76</v>
      </c>
      <c r="K268">
        <v>11.52</v>
      </c>
    </row>
    <row r="269" spans="1:11" x14ac:dyDescent="0.35">
      <c r="A269" t="s">
        <v>338</v>
      </c>
      <c r="B269" t="s">
        <v>12</v>
      </c>
      <c r="C269" t="s">
        <v>61</v>
      </c>
      <c r="D269" t="s">
        <v>14</v>
      </c>
      <c r="E269" t="s">
        <v>15</v>
      </c>
      <c r="F269" t="s">
        <v>23</v>
      </c>
      <c r="G269" t="s">
        <v>24</v>
      </c>
      <c r="H269" t="s">
        <v>18</v>
      </c>
      <c r="I269">
        <v>9</v>
      </c>
      <c r="J269">
        <v>187.61</v>
      </c>
      <c r="K269">
        <v>1688.49</v>
      </c>
    </row>
    <row r="270" spans="1:11" x14ac:dyDescent="0.35">
      <c r="A270" t="s">
        <v>339</v>
      </c>
      <c r="B270" t="s">
        <v>69</v>
      </c>
      <c r="C270" t="s">
        <v>21</v>
      </c>
      <c r="D270" t="s">
        <v>22</v>
      </c>
      <c r="E270" t="s">
        <v>15</v>
      </c>
      <c r="F270" t="s">
        <v>40</v>
      </c>
      <c r="G270" t="s">
        <v>74</v>
      </c>
      <c r="H270" t="s">
        <v>29</v>
      </c>
      <c r="I270">
        <v>2</v>
      </c>
      <c r="J270">
        <v>292.14999999999998</v>
      </c>
      <c r="K270">
        <v>584.29999999999995</v>
      </c>
    </row>
    <row r="271" spans="1:11" x14ac:dyDescent="0.35">
      <c r="A271" t="s">
        <v>340</v>
      </c>
      <c r="B271" t="s">
        <v>97</v>
      </c>
      <c r="C271" t="s">
        <v>43</v>
      </c>
      <c r="D271" t="s">
        <v>33</v>
      </c>
      <c r="E271" t="s">
        <v>44</v>
      </c>
      <c r="F271" t="s">
        <v>40</v>
      </c>
      <c r="G271" t="s">
        <v>17</v>
      </c>
      <c r="H271" t="s">
        <v>29</v>
      </c>
      <c r="I271">
        <v>3</v>
      </c>
      <c r="J271">
        <v>5.35</v>
      </c>
      <c r="K271">
        <v>16.05</v>
      </c>
    </row>
    <row r="272" spans="1:11" x14ac:dyDescent="0.35">
      <c r="A272" t="s">
        <v>341</v>
      </c>
      <c r="B272" t="s">
        <v>12</v>
      </c>
      <c r="C272" t="s">
        <v>58</v>
      </c>
      <c r="D272" t="s">
        <v>22</v>
      </c>
      <c r="E272" t="s">
        <v>63</v>
      </c>
      <c r="F272" t="s">
        <v>40</v>
      </c>
      <c r="G272" t="s">
        <v>35</v>
      </c>
      <c r="H272" t="s">
        <v>29</v>
      </c>
      <c r="I272">
        <v>2</v>
      </c>
      <c r="J272">
        <v>126.3</v>
      </c>
      <c r="K272">
        <v>252.6</v>
      </c>
    </row>
    <row r="273" spans="1:11" x14ac:dyDescent="0.35">
      <c r="A273" t="s">
        <v>342</v>
      </c>
      <c r="B273" t="s">
        <v>31</v>
      </c>
      <c r="C273" t="s">
        <v>58</v>
      </c>
      <c r="D273" t="s">
        <v>22</v>
      </c>
      <c r="E273" t="s">
        <v>63</v>
      </c>
      <c r="F273" t="s">
        <v>28</v>
      </c>
      <c r="G273" t="s">
        <v>45</v>
      </c>
      <c r="H273" t="s">
        <v>29</v>
      </c>
      <c r="I273">
        <v>7</v>
      </c>
      <c r="J273">
        <v>118.09</v>
      </c>
      <c r="K273">
        <v>826.63</v>
      </c>
    </row>
    <row r="274" spans="1:11" x14ac:dyDescent="0.35">
      <c r="A274" t="s">
        <v>343</v>
      </c>
      <c r="B274" t="s">
        <v>94</v>
      </c>
      <c r="C274" t="s">
        <v>43</v>
      </c>
      <c r="D274" t="s">
        <v>33</v>
      </c>
      <c r="E274" t="s">
        <v>39</v>
      </c>
      <c r="F274" t="s">
        <v>40</v>
      </c>
      <c r="G274" t="s">
        <v>35</v>
      </c>
      <c r="H274" t="s">
        <v>18</v>
      </c>
      <c r="I274">
        <v>9</v>
      </c>
      <c r="J274">
        <v>4.51</v>
      </c>
      <c r="K274">
        <v>40.590000000000003</v>
      </c>
    </row>
    <row r="275" spans="1:11" x14ac:dyDescent="0.35">
      <c r="A275" t="s">
        <v>344</v>
      </c>
      <c r="B275" t="s">
        <v>42</v>
      </c>
      <c r="C275" t="s">
        <v>66</v>
      </c>
      <c r="D275" t="s">
        <v>67</v>
      </c>
      <c r="E275" t="s">
        <v>39</v>
      </c>
      <c r="F275" t="s">
        <v>34</v>
      </c>
      <c r="G275" t="s">
        <v>74</v>
      </c>
      <c r="H275" t="s">
        <v>29</v>
      </c>
      <c r="I275">
        <v>2</v>
      </c>
      <c r="J275">
        <v>42.76</v>
      </c>
      <c r="K275">
        <v>85.52</v>
      </c>
    </row>
    <row r="276" spans="1:11" x14ac:dyDescent="0.35">
      <c r="A276" t="s">
        <v>345</v>
      </c>
      <c r="B276" t="s">
        <v>60</v>
      </c>
      <c r="C276" t="s">
        <v>38</v>
      </c>
      <c r="D276" t="s">
        <v>14</v>
      </c>
      <c r="E276" t="s">
        <v>63</v>
      </c>
      <c r="F276" t="s">
        <v>47</v>
      </c>
      <c r="G276" t="s">
        <v>35</v>
      </c>
      <c r="H276" t="s">
        <v>18</v>
      </c>
      <c r="I276">
        <v>1</v>
      </c>
      <c r="J276">
        <v>35.840000000000003</v>
      </c>
      <c r="K276">
        <v>35.840000000000003</v>
      </c>
    </row>
    <row r="277" spans="1:11" x14ac:dyDescent="0.35">
      <c r="A277" t="s">
        <v>346</v>
      </c>
      <c r="B277" t="s">
        <v>52</v>
      </c>
      <c r="C277" t="s">
        <v>61</v>
      </c>
      <c r="D277" t="s">
        <v>14</v>
      </c>
      <c r="E277" t="s">
        <v>39</v>
      </c>
      <c r="F277" t="s">
        <v>34</v>
      </c>
      <c r="G277" t="s">
        <v>24</v>
      </c>
      <c r="H277" t="s">
        <v>18</v>
      </c>
      <c r="I277">
        <v>6</v>
      </c>
      <c r="J277">
        <v>174.16</v>
      </c>
      <c r="K277">
        <v>1044.96</v>
      </c>
    </row>
    <row r="278" spans="1:11" x14ac:dyDescent="0.35">
      <c r="A278" t="s">
        <v>347</v>
      </c>
      <c r="B278" t="s">
        <v>37</v>
      </c>
      <c r="C278" t="s">
        <v>13</v>
      </c>
      <c r="D278" t="s">
        <v>14</v>
      </c>
      <c r="E278" t="s">
        <v>44</v>
      </c>
      <c r="F278" t="s">
        <v>47</v>
      </c>
      <c r="G278" t="s">
        <v>17</v>
      </c>
      <c r="H278" t="s">
        <v>18</v>
      </c>
      <c r="I278">
        <v>3</v>
      </c>
      <c r="J278">
        <v>140.34</v>
      </c>
      <c r="K278">
        <v>421.02</v>
      </c>
    </row>
    <row r="279" spans="1:11" x14ac:dyDescent="0.35">
      <c r="A279" t="s">
        <v>348</v>
      </c>
      <c r="B279" t="s">
        <v>26</v>
      </c>
      <c r="C279" t="s">
        <v>55</v>
      </c>
      <c r="D279" t="s">
        <v>14</v>
      </c>
      <c r="E279" t="s">
        <v>39</v>
      </c>
      <c r="F279" t="s">
        <v>16</v>
      </c>
      <c r="G279" t="s">
        <v>17</v>
      </c>
      <c r="H279" t="s">
        <v>18</v>
      </c>
      <c r="I279">
        <v>4</v>
      </c>
      <c r="J279">
        <v>785.19</v>
      </c>
      <c r="K279">
        <v>3140.76</v>
      </c>
    </row>
    <row r="280" spans="1:11" x14ac:dyDescent="0.35">
      <c r="A280" t="s">
        <v>349</v>
      </c>
      <c r="B280" t="s">
        <v>73</v>
      </c>
      <c r="C280" t="s">
        <v>61</v>
      </c>
      <c r="D280" t="s">
        <v>14</v>
      </c>
      <c r="E280" t="s">
        <v>63</v>
      </c>
      <c r="F280" t="s">
        <v>16</v>
      </c>
      <c r="G280" t="s">
        <v>35</v>
      </c>
      <c r="H280" t="s">
        <v>18</v>
      </c>
      <c r="I280">
        <v>3</v>
      </c>
      <c r="J280">
        <v>197.94</v>
      </c>
      <c r="K280">
        <v>593.82000000000005</v>
      </c>
    </row>
    <row r="281" spans="1:11" x14ac:dyDescent="0.35">
      <c r="A281" t="s">
        <v>350</v>
      </c>
      <c r="B281" t="s">
        <v>90</v>
      </c>
      <c r="C281" t="s">
        <v>61</v>
      </c>
      <c r="D281" t="s">
        <v>14</v>
      </c>
      <c r="E281" t="s">
        <v>15</v>
      </c>
      <c r="F281" t="s">
        <v>40</v>
      </c>
      <c r="G281" t="s">
        <v>35</v>
      </c>
      <c r="H281" t="s">
        <v>29</v>
      </c>
      <c r="I281">
        <v>4</v>
      </c>
      <c r="J281">
        <v>206.7</v>
      </c>
      <c r="K281">
        <v>826.8</v>
      </c>
    </row>
    <row r="282" spans="1:11" x14ac:dyDescent="0.35">
      <c r="A282" t="s">
        <v>351</v>
      </c>
      <c r="B282" t="s">
        <v>52</v>
      </c>
      <c r="C282" t="s">
        <v>32</v>
      </c>
      <c r="D282" t="s">
        <v>33</v>
      </c>
      <c r="E282" t="s">
        <v>44</v>
      </c>
      <c r="F282" t="s">
        <v>40</v>
      </c>
      <c r="G282" t="s">
        <v>24</v>
      </c>
      <c r="H282" t="s">
        <v>18</v>
      </c>
      <c r="I282">
        <v>8</v>
      </c>
      <c r="J282">
        <v>3.39</v>
      </c>
      <c r="K282">
        <v>27.12</v>
      </c>
    </row>
    <row r="283" spans="1:11" x14ac:dyDescent="0.35">
      <c r="A283" t="s">
        <v>352</v>
      </c>
      <c r="B283" t="s">
        <v>107</v>
      </c>
      <c r="C283" t="s">
        <v>43</v>
      </c>
      <c r="D283" t="s">
        <v>33</v>
      </c>
      <c r="E283" t="s">
        <v>44</v>
      </c>
      <c r="F283" t="s">
        <v>23</v>
      </c>
      <c r="G283" t="s">
        <v>35</v>
      </c>
      <c r="H283" t="s">
        <v>18</v>
      </c>
      <c r="I283">
        <v>6</v>
      </c>
      <c r="J283">
        <v>5.62</v>
      </c>
      <c r="K283">
        <v>33.72</v>
      </c>
    </row>
    <row r="284" spans="1:11" x14ac:dyDescent="0.35">
      <c r="A284" t="s">
        <v>353</v>
      </c>
      <c r="B284" t="s">
        <v>37</v>
      </c>
      <c r="C284" t="s">
        <v>58</v>
      </c>
      <c r="D284" t="s">
        <v>22</v>
      </c>
      <c r="E284" t="s">
        <v>15</v>
      </c>
      <c r="F284" t="s">
        <v>47</v>
      </c>
      <c r="G284" t="s">
        <v>24</v>
      </c>
      <c r="H284" t="s">
        <v>29</v>
      </c>
      <c r="I284">
        <v>8</v>
      </c>
      <c r="J284">
        <v>110.28</v>
      </c>
      <c r="K284">
        <v>882.24</v>
      </c>
    </row>
    <row r="285" spans="1:11" x14ac:dyDescent="0.35">
      <c r="A285" t="s">
        <v>354</v>
      </c>
      <c r="B285" t="s">
        <v>20</v>
      </c>
      <c r="C285" t="s">
        <v>43</v>
      </c>
      <c r="D285" t="s">
        <v>33</v>
      </c>
      <c r="E285" t="s">
        <v>44</v>
      </c>
      <c r="F285" t="s">
        <v>16</v>
      </c>
      <c r="G285" t="s">
        <v>35</v>
      </c>
      <c r="H285" t="s">
        <v>18</v>
      </c>
      <c r="I285">
        <v>7</v>
      </c>
      <c r="J285">
        <v>5.96</v>
      </c>
      <c r="K285">
        <v>41.72</v>
      </c>
    </row>
    <row r="286" spans="1:11" x14ac:dyDescent="0.35">
      <c r="A286" t="s">
        <v>355</v>
      </c>
      <c r="B286" t="s">
        <v>118</v>
      </c>
      <c r="C286" t="s">
        <v>27</v>
      </c>
      <c r="D286" t="s">
        <v>14</v>
      </c>
      <c r="E286" t="s">
        <v>39</v>
      </c>
      <c r="F286" t="s">
        <v>40</v>
      </c>
      <c r="G286" t="s">
        <v>17</v>
      </c>
      <c r="H286" t="s">
        <v>18</v>
      </c>
      <c r="I286">
        <v>1</v>
      </c>
      <c r="J286">
        <v>18.309999999999999</v>
      </c>
      <c r="K286">
        <v>18.309999999999999</v>
      </c>
    </row>
    <row r="287" spans="1:11" x14ac:dyDescent="0.35">
      <c r="A287" t="s">
        <v>356</v>
      </c>
      <c r="B287" t="s">
        <v>124</v>
      </c>
      <c r="C287" t="s">
        <v>13</v>
      </c>
      <c r="D287" t="s">
        <v>14</v>
      </c>
      <c r="E287" t="s">
        <v>63</v>
      </c>
      <c r="F287" t="s">
        <v>23</v>
      </c>
      <c r="G287" t="s">
        <v>45</v>
      </c>
      <c r="H287" t="s">
        <v>29</v>
      </c>
      <c r="I287">
        <v>9</v>
      </c>
      <c r="J287">
        <v>138.66</v>
      </c>
      <c r="K287">
        <v>1247.94</v>
      </c>
    </row>
    <row r="288" spans="1:11" x14ac:dyDescent="0.35">
      <c r="A288" t="s">
        <v>357</v>
      </c>
      <c r="B288" t="s">
        <v>42</v>
      </c>
      <c r="C288" t="s">
        <v>55</v>
      </c>
      <c r="D288" t="s">
        <v>14</v>
      </c>
      <c r="E288" t="s">
        <v>39</v>
      </c>
      <c r="F288" t="s">
        <v>34</v>
      </c>
      <c r="G288" t="s">
        <v>74</v>
      </c>
      <c r="H288" t="s">
        <v>29</v>
      </c>
      <c r="I288">
        <v>6</v>
      </c>
      <c r="J288">
        <v>769.92</v>
      </c>
      <c r="K288">
        <v>4619.5200000000004</v>
      </c>
    </row>
    <row r="289" spans="1:11" x14ac:dyDescent="0.35">
      <c r="A289" t="s">
        <v>358</v>
      </c>
      <c r="B289" t="s">
        <v>42</v>
      </c>
      <c r="C289" t="s">
        <v>21</v>
      </c>
      <c r="D289" t="s">
        <v>22</v>
      </c>
      <c r="E289" t="s">
        <v>63</v>
      </c>
      <c r="F289" t="s">
        <v>47</v>
      </c>
      <c r="G289" t="s">
        <v>17</v>
      </c>
      <c r="H289" t="s">
        <v>18</v>
      </c>
      <c r="I289">
        <v>5</v>
      </c>
      <c r="J289">
        <v>257.31</v>
      </c>
      <c r="K289">
        <v>1286.55</v>
      </c>
    </row>
    <row r="290" spans="1:11" x14ac:dyDescent="0.35">
      <c r="A290" t="s">
        <v>359</v>
      </c>
      <c r="B290" t="s">
        <v>124</v>
      </c>
      <c r="C290" t="s">
        <v>61</v>
      </c>
      <c r="D290" t="s">
        <v>14</v>
      </c>
      <c r="E290" t="s">
        <v>39</v>
      </c>
      <c r="F290" t="s">
        <v>47</v>
      </c>
      <c r="G290" t="s">
        <v>48</v>
      </c>
      <c r="H290" t="s">
        <v>18</v>
      </c>
      <c r="I290">
        <v>1</v>
      </c>
      <c r="J290">
        <v>192.97</v>
      </c>
      <c r="K290">
        <v>192.97</v>
      </c>
    </row>
    <row r="291" spans="1:11" x14ac:dyDescent="0.35">
      <c r="A291" t="s">
        <v>360</v>
      </c>
      <c r="B291" t="s">
        <v>77</v>
      </c>
      <c r="C291" t="s">
        <v>21</v>
      </c>
      <c r="D291" t="s">
        <v>22</v>
      </c>
      <c r="E291" t="s">
        <v>44</v>
      </c>
      <c r="F291" t="s">
        <v>34</v>
      </c>
      <c r="G291" t="s">
        <v>74</v>
      </c>
      <c r="H291" t="s">
        <v>29</v>
      </c>
      <c r="I291">
        <v>6</v>
      </c>
      <c r="J291">
        <v>273.37</v>
      </c>
      <c r="K291">
        <v>1640.22</v>
      </c>
    </row>
    <row r="292" spans="1:11" x14ac:dyDescent="0.35">
      <c r="A292" t="s">
        <v>361</v>
      </c>
      <c r="B292" t="s">
        <v>50</v>
      </c>
      <c r="C292" t="s">
        <v>38</v>
      </c>
      <c r="D292" t="s">
        <v>14</v>
      </c>
      <c r="E292" t="s">
        <v>15</v>
      </c>
      <c r="F292" t="s">
        <v>16</v>
      </c>
      <c r="G292" t="s">
        <v>45</v>
      </c>
      <c r="H292" t="s">
        <v>18</v>
      </c>
      <c r="I292">
        <v>9</v>
      </c>
      <c r="J292">
        <v>40.450000000000003</v>
      </c>
      <c r="K292">
        <v>364.05</v>
      </c>
    </row>
    <row r="293" spans="1:11" x14ac:dyDescent="0.35">
      <c r="A293" t="s">
        <v>362</v>
      </c>
      <c r="B293" t="s">
        <v>31</v>
      </c>
      <c r="C293" t="s">
        <v>21</v>
      </c>
      <c r="D293" t="s">
        <v>22</v>
      </c>
      <c r="E293" t="s">
        <v>15</v>
      </c>
      <c r="F293" t="s">
        <v>34</v>
      </c>
      <c r="G293" t="s">
        <v>35</v>
      </c>
      <c r="H293" t="s">
        <v>29</v>
      </c>
      <c r="I293">
        <v>5</v>
      </c>
      <c r="J293">
        <v>287.68</v>
      </c>
      <c r="K293">
        <v>1438.4</v>
      </c>
    </row>
    <row r="294" spans="1:11" x14ac:dyDescent="0.35">
      <c r="A294" t="s">
        <v>363</v>
      </c>
      <c r="B294" t="s">
        <v>31</v>
      </c>
      <c r="C294" t="s">
        <v>32</v>
      </c>
      <c r="D294" t="s">
        <v>33</v>
      </c>
      <c r="E294" t="s">
        <v>15</v>
      </c>
      <c r="F294" t="s">
        <v>40</v>
      </c>
      <c r="G294" t="s">
        <v>74</v>
      </c>
      <c r="H294" t="s">
        <v>18</v>
      </c>
      <c r="I294">
        <v>8</v>
      </c>
      <c r="J294">
        <v>3.45</v>
      </c>
      <c r="K294">
        <v>27.6</v>
      </c>
    </row>
    <row r="295" spans="1:11" x14ac:dyDescent="0.35">
      <c r="A295" t="s">
        <v>364</v>
      </c>
      <c r="B295" t="s">
        <v>84</v>
      </c>
      <c r="C295" t="s">
        <v>38</v>
      </c>
      <c r="D295" t="s">
        <v>14</v>
      </c>
      <c r="E295" t="s">
        <v>39</v>
      </c>
      <c r="F295" t="s">
        <v>28</v>
      </c>
      <c r="G295" t="s">
        <v>48</v>
      </c>
      <c r="H295" t="s">
        <v>29</v>
      </c>
      <c r="I295">
        <v>2</v>
      </c>
      <c r="J295">
        <v>36.94</v>
      </c>
      <c r="K295">
        <v>73.88</v>
      </c>
    </row>
    <row r="296" spans="1:11" x14ac:dyDescent="0.35">
      <c r="A296" t="s">
        <v>365</v>
      </c>
      <c r="B296" t="s">
        <v>54</v>
      </c>
      <c r="C296" t="s">
        <v>13</v>
      </c>
      <c r="D296" t="s">
        <v>14</v>
      </c>
      <c r="E296" t="s">
        <v>39</v>
      </c>
      <c r="F296" t="s">
        <v>28</v>
      </c>
      <c r="G296" t="s">
        <v>74</v>
      </c>
      <c r="H296" t="s">
        <v>18</v>
      </c>
      <c r="I296">
        <v>7</v>
      </c>
      <c r="J296">
        <v>151.16</v>
      </c>
      <c r="K296">
        <v>1058.1199999999999</v>
      </c>
    </row>
    <row r="297" spans="1:11" x14ac:dyDescent="0.35">
      <c r="A297" t="s">
        <v>366</v>
      </c>
      <c r="B297" t="s">
        <v>65</v>
      </c>
      <c r="C297" t="s">
        <v>13</v>
      </c>
      <c r="D297" t="s">
        <v>14</v>
      </c>
      <c r="E297" t="s">
        <v>63</v>
      </c>
      <c r="F297" t="s">
        <v>23</v>
      </c>
      <c r="G297" t="s">
        <v>48</v>
      </c>
      <c r="H297" t="s">
        <v>29</v>
      </c>
      <c r="I297">
        <v>7</v>
      </c>
      <c r="J297">
        <v>153.66999999999999</v>
      </c>
      <c r="K297">
        <v>1075.69</v>
      </c>
    </row>
    <row r="298" spans="1:11" x14ac:dyDescent="0.35">
      <c r="A298" t="s">
        <v>367</v>
      </c>
      <c r="B298" t="s">
        <v>71</v>
      </c>
      <c r="C298" t="s">
        <v>21</v>
      </c>
      <c r="D298" t="s">
        <v>22</v>
      </c>
      <c r="E298" t="s">
        <v>63</v>
      </c>
      <c r="F298" t="s">
        <v>16</v>
      </c>
      <c r="G298" t="s">
        <v>48</v>
      </c>
      <c r="H298" t="s">
        <v>29</v>
      </c>
      <c r="I298">
        <v>9</v>
      </c>
      <c r="J298">
        <v>267.73</v>
      </c>
      <c r="K298">
        <v>2409.5700000000002</v>
      </c>
    </row>
    <row r="299" spans="1:11" x14ac:dyDescent="0.35">
      <c r="A299" t="s">
        <v>368</v>
      </c>
      <c r="B299" t="s">
        <v>26</v>
      </c>
      <c r="C299" t="s">
        <v>21</v>
      </c>
      <c r="D299" t="s">
        <v>22</v>
      </c>
      <c r="E299" t="s">
        <v>63</v>
      </c>
      <c r="F299" t="s">
        <v>40</v>
      </c>
      <c r="G299" t="s">
        <v>24</v>
      </c>
      <c r="H299" t="s">
        <v>29</v>
      </c>
      <c r="I299">
        <v>2</v>
      </c>
      <c r="J299">
        <v>280.99</v>
      </c>
      <c r="K299">
        <v>561.98</v>
      </c>
    </row>
    <row r="300" spans="1:11" x14ac:dyDescent="0.35">
      <c r="A300" t="s">
        <v>369</v>
      </c>
      <c r="B300" t="s">
        <v>71</v>
      </c>
      <c r="C300" t="s">
        <v>55</v>
      </c>
      <c r="D300" t="s">
        <v>14</v>
      </c>
      <c r="E300" t="s">
        <v>44</v>
      </c>
      <c r="F300" t="s">
        <v>28</v>
      </c>
      <c r="G300" t="s">
        <v>17</v>
      </c>
      <c r="H300" t="s">
        <v>18</v>
      </c>
      <c r="I300">
        <v>9</v>
      </c>
      <c r="J300">
        <v>655.26</v>
      </c>
      <c r="K300">
        <v>5897.34</v>
      </c>
    </row>
    <row r="301" spans="1:11" x14ac:dyDescent="0.35">
      <c r="A301" t="s">
        <v>370</v>
      </c>
      <c r="B301" t="s">
        <v>124</v>
      </c>
      <c r="C301" t="s">
        <v>32</v>
      </c>
      <c r="D301" t="s">
        <v>33</v>
      </c>
      <c r="E301" t="s">
        <v>15</v>
      </c>
      <c r="F301" t="s">
        <v>16</v>
      </c>
      <c r="G301" t="s">
        <v>48</v>
      </c>
      <c r="H301" t="s">
        <v>29</v>
      </c>
      <c r="I301">
        <v>5</v>
      </c>
      <c r="J301">
        <v>2.76</v>
      </c>
      <c r="K301">
        <v>13.8</v>
      </c>
    </row>
    <row r="302" spans="1:11" x14ac:dyDescent="0.35">
      <c r="A302" t="s">
        <v>371</v>
      </c>
      <c r="B302" t="s">
        <v>60</v>
      </c>
      <c r="C302" t="s">
        <v>61</v>
      </c>
      <c r="D302" t="s">
        <v>14</v>
      </c>
      <c r="E302" t="s">
        <v>44</v>
      </c>
      <c r="F302" t="s">
        <v>47</v>
      </c>
      <c r="G302" t="s">
        <v>48</v>
      </c>
      <c r="H302" t="s">
        <v>29</v>
      </c>
      <c r="I302">
        <v>5</v>
      </c>
      <c r="J302">
        <v>210.57</v>
      </c>
      <c r="K302">
        <v>1052.8499999999999</v>
      </c>
    </row>
    <row r="303" spans="1:11" x14ac:dyDescent="0.35">
      <c r="A303" t="s">
        <v>372</v>
      </c>
      <c r="B303" t="s">
        <v>50</v>
      </c>
      <c r="C303" t="s">
        <v>27</v>
      </c>
      <c r="D303" t="s">
        <v>14</v>
      </c>
      <c r="E303" t="s">
        <v>39</v>
      </c>
      <c r="F303" t="s">
        <v>47</v>
      </c>
      <c r="G303" t="s">
        <v>24</v>
      </c>
      <c r="H303" t="s">
        <v>29</v>
      </c>
      <c r="I303">
        <v>3</v>
      </c>
      <c r="J303">
        <v>23.7</v>
      </c>
      <c r="K303">
        <v>71.099999999999994</v>
      </c>
    </row>
    <row r="304" spans="1:11" x14ac:dyDescent="0.35">
      <c r="A304" t="s">
        <v>373</v>
      </c>
      <c r="B304" t="s">
        <v>69</v>
      </c>
      <c r="C304" t="s">
        <v>43</v>
      </c>
      <c r="D304" t="s">
        <v>33</v>
      </c>
      <c r="E304" t="s">
        <v>63</v>
      </c>
      <c r="F304" t="s">
        <v>23</v>
      </c>
      <c r="G304" t="s">
        <v>45</v>
      </c>
      <c r="H304" t="s">
        <v>18</v>
      </c>
      <c r="I304">
        <v>7</v>
      </c>
      <c r="J304">
        <v>4.79</v>
      </c>
      <c r="K304">
        <v>33.53</v>
      </c>
    </row>
    <row r="305" spans="1:11" x14ac:dyDescent="0.35">
      <c r="A305" t="s">
        <v>374</v>
      </c>
      <c r="B305" t="s">
        <v>102</v>
      </c>
      <c r="C305" t="s">
        <v>38</v>
      </c>
      <c r="D305" t="s">
        <v>14</v>
      </c>
      <c r="E305" t="s">
        <v>39</v>
      </c>
      <c r="F305" t="s">
        <v>28</v>
      </c>
      <c r="G305" t="s">
        <v>45</v>
      </c>
      <c r="H305" t="s">
        <v>29</v>
      </c>
      <c r="I305">
        <v>8</v>
      </c>
      <c r="J305">
        <v>34.89</v>
      </c>
      <c r="K305">
        <v>279.12</v>
      </c>
    </row>
    <row r="306" spans="1:11" x14ac:dyDescent="0.35">
      <c r="A306" t="s">
        <v>375</v>
      </c>
      <c r="B306" t="s">
        <v>50</v>
      </c>
      <c r="C306" t="s">
        <v>43</v>
      </c>
      <c r="D306" t="s">
        <v>33</v>
      </c>
      <c r="E306" t="s">
        <v>44</v>
      </c>
      <c r="F306" t="s">
        <v>28</v>
      </c>
      <c r="G306" t="s">
        <v>45</v>
      </c>
      <c r="H306" t="s">
        <v>18</v>
      </c>
      <c r="I306">
        <v>5</v>
      </c>
      <c r="J306">
        <v>4.57</v>
      </c>
      <c r="K306">
        <v>22.85</v>
      </c>
    </row>
    <row r="307" spans="1:11" x14ac:dyDescent="0.35">
      <c r="A307" t="s">
        <v>376</v>
      </c>
      <c r="B307" t="s">
        <v>20</v>
      </c>
      <c r="C307" t="s">
        <v>58</v>
      </c>
      <c r="D307" t="s">
        <v>22</v>
      </c>
      <c r="E307" t="s">
        <v>15</v>
      </c>
      <c r="F307" t="s">
        <v>34</v>
      </c>
      <c r="G307" t="s">
        <v>48</v>
      </c>
      <c r="H307" t="s">
        <v>18</v>
      </c>
      <c r="I307">
        <v>5</v>
      </c>
      <c r="J307">
        <v>130.13</v>
      </c>
      <c r="K307">
        <v>650.65</v>
      </c>
    </row>
    <row r="308" spans="1:11" x14ac:dyDescent="0.35">
      <c r="A308" t="s">
        <v>377</v>
      </c>
      <c r="B308" t="s">
        <v>37</v>
      </c>
      <c r="C308" t="s">
        <v>58</v>
      </c>
      <c r="D308" t="s">
        <v>22</v>
      </c>
      <c r="E308" t="s">
        <v>15</v>
      </c>
      <c r="F308" t="s">
        <v>23</v>
      </c>
      <c r="G308" t="s">
        <v>17</v>
      </c>
      <c r="H308" t="s">
        <v>18</v>
      </c>
      <c r="I308">
        <v>7</v>
      </c>
      <c r="J308">
        <v>120.58</v>
      </c>
      <c r="K308">
        <v>844.06</v>
      </c>
    </row>
    <row r="309" spans="1:11" x14ac:dyDescent="0.35">
      <c r="A309" t="s">
        <v>378</v>
      </c>
      <c r="B309" t="s">
        <v>52</v>
      </c>
      <c r="C309" t="s">
        <v>43</v>
      </c>
      <c r="D309" t="s">
        <v>33</v>
      </c>
      <c r="E309" t="s">
        <v>63</v>
      </c>
      <c r="F309" t="s">
        <v>40</v>
      </c>
      <c r="G309" t="s">
        <v>17</v>
      </c>
      <c r="H309" t="s">
        <v>18</v>
      </c>
      <c r="I309">
        <v>9</v>
      </c>
      <c r="J309">
        <v>5.49</v>
      </c>
      <c r="K309">
        <v>49.41</v>
      </c>
    </row>
    <row r="310" spans="1:11" x14ac:dyDescent="0.35">
      <c r="A310" t="s">
        <v>379</v>
      </c>
      <c r="B310" t="s">
        <v>42</v>
      </c>
      <c r="C310" t="s">
        <v>43</v>
      </c>
      <c r="D310" t="s">
        <v>33</v>
      </c>
      <c r="E310" t="s">
        <v>44</v>
      </c>
      <c r="F310" t="s">
        <v>28</v>
      </c>
      <c r="G310" t="s">
        <v>24</v>
      </c>
      <c r="H310" t="s">
        <v>18</v>
      </c>
      <c r="I310">
        <v>2</v>
      </c>
      <c r="J310">
        <v>5.51</v>
      </c>
      <c r="K310">
        <v>11.02</v>
      </c>
    </row>
    <row r="311" spans="1:11" x14ac:dyDescent="0.35">
      <c r="A311" t="s">
        <v>380</v>
      </c>
      <c r="B311" t="s">
        <v>102</v>
      </c>
      <c r="C311" t="s">
        <v>38</v>
      </c>
      <c r="D311" t="s">
        <v>14</v>
      </c>
      <c r="E311" t="s">
        <v>63</v>
      </c>
      <c r="F311" t="s">
        <v>28</v>
      </c>
      <c r="G311" t="s">
        <v>45</v>
      </c>
      <c r="H311" t="s">
        <v>18</v>
      </c>
      <c r="I311">
        <v>4</v>
      </c>
      <c r="J311">
        <v>41.95</v>
      </c>
      <c r="K311">
        <v>167.8</v>
      </c>
    </row>
    <row r="312" spans="1:11" x14ac:dyDescent="0.35">
      <c r="A312" t="s">
        <v>381</v>
      </c>
      <c r="B312" t="s">
        <v>111</v>
      </c>
      <c r="C312" t="s">
        <v>61</v>
      </c>
      <c r="D312" t="s">
        <v>14</v>
      </c>
      <c r="E312" t="s">
        <v>39</v>
      </c>
      <c r="F312" t="s">
        <v>47</v>
      </c>
      <c r="G312" t="s">
        <v>45</v>
      </c>
      <c r="H312" t="s">
        <v>18</v>
      </c>
      <c r="I312">
        <v>5</v>
      </c>
      <c r="J312">
        <v>211.53</v>
      </c>
      <c r="K312">
        <v>1057.6500000000001</v>
      </c>
    </row>
    <row r="313" spans="1:11" x14ac:dyDescent="0.35">
      <c r="A313" t="s">
        <v>382</v>
      </c>
      <c r="B313" t="s">
        <v>90</v>
      </c>
      <c r="C313" t="s">
        <v>58</v>
      </c>
      <c r="D313" t="s">
        <v>22</v>
      </c>
      <c r="E313" t="s">
        <v>44</v>
      </c>
      <c r="F313" t="s">
        <v>40</v>
      </c>
      <c r="G313" t="s">
        <v>35</v>
      </c>
      <c r="H313" t="s">
        <v>29</v>
      </c>
      <c r="I313">
        <v>4</v>
      </c>
      <c r="J313">
        <v>133.91999999999999</v>
      </c>
      <c r="K313">
        <v>535.67999999999995</v>
      </c>
    </row>
    <row r="314" spans="1:11" x14ac:dyDescent="0.35">
      <c r="A314" t="s">
        <v>383</v>
      </c>
      <c r="B314" t="s">
        <v>84</v>
      </c>
      <c r="C314" t="s">
        <v>43</v>
      </c>
      <c r="D314" t="s">
        <v>33</v>
      </c>
      <c r="E314" t="s">
        <v>63</v>
      </c>
      <c r="F314" t="s">
        <v>28</v>
      </c>
      <c r="G314" t="s">
        <v>48</v>
      </c>
      <c r="H314" t="s">
        <v>29</v>
      </c>
      <c r="I314">
        <v>3</v>
      </c>
      <c r="J314">
        <v>4.79</v>
      </c>
      <c r="K314">
        <v>14.37</v>
      </c>
    </row>
    <row r="315" spans="1:11" x14ac:dyDescent="0.35">
      <c r="A315" t="s">
        <v>384</v>
      </c>
      <c r="B315" t="s">
        <v>84</v>
      </c>
      <c r="C315" t="s">
        <v>21</v>
      </c>
      <c r="D315" t="s">
        <v>22</v>
      </c>
      <c r="E315" t="s">
        <v>63</v>
      </c>
      <c r="F315" t="s">
        <v>23</v>
      </c>
      <c r="G315" t="s">
        <v>74</v>
      </c>
      <c r="H315" t="s">
        <v>18</v>
      </c>
      <c r="I315">
        <v>6</v>
      </c>
      <c r="J315">
        <v>260.19</v>
      </c>
      <c r="K315">
        <v>1561.14</v>
      </c>
    </row>
    <row r="316" spans="1:11" x14ac:dyDescent="0.35">
      <c r="A316" t="s">
        <v>385</v>
      </c>
      <c r="B316" t="s">
        <v>118</v>
      </c>
      <c r="C316" t="s">
        <v>58</v>
      </c>
      <c r="D316" t="s">
        <v>22</v>
      </c>
      <c r="E316" t="s">
        <v>15</v>
      </c>
      <c r="F316" t="s">
        <v>23</v>
      </c>
      <c r="G316" t="s">
        <v>24</v>
      </c>
      <c r="H316" t="s">
        <v>29</v>
      </c>
      <c r="I316">
        <v>6</v>
      </c>
      <c r="J316">
        <v>113.63</v>
      </c>
      <c r="K316">
        <v>681.78</v>
      </c>
    </row>
    <row r="317" spans="1:11" x14ac:dyDescent="0.35">
      <c r="A317" t="s">
        <v>386</v>
      </c>
      <c r="B317" t="s">
        <v>50</v>
      </c>
      <c r="C317" t="s">
        <v>43</v>
      </c>
      <c r="D317" t="s">
        <v>33</v>
      </c>
      <c r="E317" t="s">
        <v>39</v>
      </c>
      <c r="F317" t="s">
        <v>34</v>
      </c>
      <c r="G317" t="s">
        <v>48</v>
      </c>
      <c r="H317" t="s">
        <v>18</v>
      </c>
      <c r="I317">
        <v>4</v>
      </c>
      <c r="J317">
        <v>5.71</v>
      </c>
      <c r="K317">
        <v>22.84</v>
      </c>
    </row>
    <row r="318" spans="1:11" x14ac:dyDescent="0.35">
      <c r="A318" t="s">
        <v>387</v>
      </c>
      <c r="B318" t="s">
        <v>20</v>
      </c>
      <c r="C318" t="s">
        <v>61</v>
      </c>
      <c r="D318" t="s">
        <v>14</v>
      </c>
      <c r="E318" t="s">
        <v>39</v>
      </c>
      <c r="F318" t="s">
        <v>34</v>
      </c>
      <c r="G318" t="s">
        <v>35</v>
      </c>
      <c r="H318" t="s">
        <v>18</v>
      </c>
      <c r="I318">
        <v>3</v>
      </c>
      <c r="J318">
        <v>200.78</v>
      </c>
      <c r="K318">
        <v>602.34</v>
      </c>
    </row>
    <row r="319" spans="1:11" x14ac:dyDescent="0.35">
      <c r="A319" t="s">
        <v>388</v>
      </c>
      <c r="B319" t="s">
        <v>107</v>
      </c>
      <c r="C319" t="s">
        <v>58</v>
      </c>
      <c r="D319" t="s">
        <v>22</v>
      </c>
      <c r="E319" t="s">
        <v>15</v>
      </c>
      <c r="F319" t="s">
        <v>28</v>
      </c>
      <c r="G319" t="s">
        <v>17</v>
      </c>
      <c r="H319" t="s">
        <v>29</v>
      </c>
      <c r="I319">
        <v>7</v>
      </c>
      <c r="J319">
        <v>120.93</v>
      </c>
      <c r="K319">
        <v>846.51</v>
      </c>
    </row>
    <row r="320" spans="1:11" x14ac:dyDescent="0.35">
      <c r="A320" t="s">
        <v>389</v>
      </c>
      <c r="B320" t="s">
        <v>124</v>
      </c>
      <c r="C320" t="s">
        <v>27</v>
      </c>
      <c r="D320" t="s">
        <v>14</v>
      </c>
      <c r="E320" t="s">
        <v>15</v>
      </c>
      <c r="F320" t="s">
        <v>16</v>
      </c>
      <c r="G320" t="s">
        <v>24</v>
      </c>
      <c r="H320" t="s">
        <v>18</v>
      </c>
      <c r="I320">
        <v>4</v>
      </c>
      <c r="J320">
        <v>18.68</v>
      </c>
      <c r="K320">
        <v>74.72</v>
      </c>
    </row>
    <row r="321" spans="1:11" x14ac:dyDescent="0.35">
      <c r="A321" t="s">
        <v>390</v>
      </c>
      <c r="B321" t="s">
        <v>128</v>
      </c>
      <c r="C321" t="s">
        <v>32</v>
      </c>
      <c r="D321" t="s">
        <v>33</v>
      </c>
      <c r="E321" t="s">
        <v>39</v>
      </c>
      <c r="F321" t="s">
        <v>23</v>
      </c>
      <c r="G321" t="s">
        <v>48</v>
      </c>
      <c r="H321" t="s">
        <v>29</v>
      </c>
      <c r="I321">
        <v>7</v>
      </c>
      <c r="J321">
        <v>3.51</v>
      </c>
      <c r="K321">
        <v>24.57</v>
      </c>
    </row>
    <row r="322" spans="1:11" x14ac:dyDescent="0.35">
      <c r="A322" t="s">
        <v>391</v>
      </c>
      <c r="B322" t="s">
        <v>57</v>
      </c>
      <c r="C322" t="s">
        <v>38</v>
      </c>
      <c r="D322" t="s">
        <v>14</v>
      </c>
      <c r="E322" t="s">
        <v>15</v>
      </c>
      <c r="F322" t="s">
        <v>28</v>
      </c>
      <c r="G322" t="s">
        <v>74</v>
      </c>
      <c r="H322" t="s">
        <v>18</v>
      </c>
      <c r="I322">
        <v>2</v>
      </c>
      <c r="J322">
        <v>32.86</v>
      </c>
      <c r="K322">
        <v>65.72</v>
      </c>
    </row>
    <row r="323" spans="1:11" x14ac:dyDescent="0.35">
      <c r="A323" t="s">
        <v>392</v>
      </c>
      <c r="B323" t="s">
        <v>94</v>
      </c>
      <c r="C323" t="s">
        <v>32</v>
      </c>
      <c r="D323" t="s">
        <v>33</v>
      </c>
      <c r="E323" t="s">
        <v>15</v>
      </c>
      <c r="F323" t="s">
        <v>47</v>
      </c>
      <c r="G323" t="s">
        <v>45</v>
      </c>
      <c r="H323" t="s">
        <v>29</v>
      </c>
      <c r="I323">
        <v>7</v>
      </c>
      <c r="J323">
        <v>3.14</v>
      </c>
      <c r="K323">
        <v>21.98</v>
      </c>
    </row>
    <row r="324" spans="1:11" x14ac:dyDescent="0.35">
      <c r="A324" t="s">
        <v>393</v>
      </c>
      <c r="B324" t="s">
        <v>90</v>
      </c>
      <c r="C324" t="s">
        <v>66</v>
      </c>
      <c r="D324" t="s">
        <v>67</v>
      </c>
      <c r="E324" t="s">
        <v>44</v>
      </c>
      <c r="F324" t="s">
        <v>34</v>
      </c>
      <c r="G324" t="s">
        <v>45</v>
      </c>
      <c r="H324" t="s">
        <v>18</v>
      </c>
      <c r="I324">
        <v>10</v>
      </c>
      <c r="J324">
        <v>38.86</v>
      </c>
      <c r="K324">
        <v>388.6</v>
      </c>
    </row>
    <row r="325" spans="1:11" x14ac:dyDescent="0.35">
      <c r="A325" t="s">
        <v>394</v>
      </c>
      <c r="B325" t="s">
        <v>57</v>
      </c>
      <c r="C325" t="s">
        <v>66</v>
      </c>
      <c r="D325" t="s">
        <v>67</v>
      </c>
      <c r="E325" t="s">
        <v>63</v>
      </c>
      <c r="F325" t="s">
        <v>47</v>
      </c>
      <c r="G325" t="s">
        <v>45</v>
      </c>
      <c r="H325" t="s">
        <v>18</v>
      </c>
      <c r="I325">
        <v>7</v>
      </c>
      <c r="J325">
        <v>45.83</v>
      </c>
      <c r="K325">
        <v>320.81</v>
      </c>
    </row>
    <row r="326" spans="1:11" x14ac:dyDescent="0.35">
      <c r="A326" t="s">
        <v>395</v>
      </c>
      <c r="B326" t="s">
        <v>26</v>
      </c>
      <c r="C326" t="s">
        <v>58</v>
      </c>
      <c r="D326" t="s">
        <v>22</v>
      </c>
      <c r="E326" t="s">
        <v>39</v>
      </c>
      <c r="F326" t="s">
        <v>40</v>
      </c>
      <c r="G326" t="s">
        <v>35</v>
      </c>
      <c r="H326" t="s">
        <v>29</v>
      </c>
      <c r="I326">
        <v>10</v>
      </c>
      <c r="J326">
        <v>114.39</v>
      </c>
      <c r="K326">
        <v>1143.9000000000001</v>
      </c>
    </row>
    <row r="327" spans="1:11" x14ac:dyDescent="0.35">
      <c r="A327" t="s">
        <v>396</v>
      </c>
      <c r="B327" t="s">
        <v>128</v>
      </c>
      <c r="C327" t="s">
        <v>27</v>
      </c>
      <c r="D327" t="s">
        <v>14</v>
      </c>
      <c r="E327" t="s">
        <v>15</v>
      </c>
      <c r="F327" t="s">
        <v>28</v>
      </c>
      <c r="G327" t="s">
        <v>17</v>
      </c>
      <c r="H327" t="s">
        <v>29</v>
      </c>
      <c r="I327">
        <v>9</v>
      </c>
      <c r="J327">
        <v>23.82</v>
      </c>
      <c r="K327">
        <v>214.38</v>
      </c>
    </row>
    <row r="328" spans="1:11" x14ac:dyDescent="0.35">
      <c r="A328" t="s">
        <v>397</v>
      </c>
      <c r="B328" t="s">
        <v>52</v>
      </c>
      <c r="C328" t="s">
        <v>61</v>
      </c>
      <c r="D328" t="s">
        <v>14</v>
      </c>
      <c r="E328" t="s">
        <v>63</v>
      </c>
      <c r="F328" t="s">
        <v>23</v>
      </c>
      <c r="G328" t="s">
        <v>45</v>
      </c>
      <c r="H328" t="s">
        <v>18</v>
      </c>
      <c r="I328">
        <v>10</v>
      </c>
      <c r="J328">
        <v>201.17</v>
      </c>
      <c r="K328">
        <v>2011.7</v>
      </c>
    </row>
    <row r="329" spans="1:11" x14ac:dyDescent="0.35">
      <c r="A329" t="s">
        <v>398</v>
      </c>
      <c r="B329" t="s">
        <v>65</v>
      </c>
      <c r="C329" t="s">
        <v>66</v>
      </c>
      <c r="D329" t="s">
        <v>67</v>
      </c>
      <c r="E329" t="s">
        <v>63</v>
      </c>
      <c r="F329" t="s">
        <v>28</v>
      </c>
      <c r="G329" t="s">
        <v>35</v>
      </c>
      <c r="H329" t="s">
        <v>29</v>
      </c>
      <c r="I329">
        <v>7</v>
      </c>
      <c r="J329">
        <v>36.950000000000003</v>
      </c>
      <c r="K329">
        <v>258.64999999999998</v>
      </c>
    </row>
    <row r="330" spans="1:11" x14ac:dyDescent="0.35">
      <c r="A330" t="s">
        <v>399</v>
      </c>
      <c r="B330" t="s">
        <v>84</v>
      </c>
      <c r="C330" t="s">
        <v>21</v>
      </c>
      <c r="D330" t="s">
        <v>22</v>
      </c>
      <c r="E330" t="s">
        <v>15</v>
      </c>
      <c r="F330" t="s">
        <v>47</v>
      </c>
      <c r="G330" t="s">
        <v>45</v>
      </c>
      <c r="H330" t="s">
        <v>18</v>
      </c>
      <c r="I330">
        <v>9</v>
      </c>
      <c r="J330">
        <v>244.55</v>
      </c>
      <c r="K330">
        <v>2200.9499999999998</v>
      </c>
    </row>
    <row r="331" spans="1:11" x14ac:dyDescent="0.35">
      <c r="A331" t="s">
        <v>400</v>
      </c>
      <c r="B331" t="s">
        <v>50</v>
      </c>
      <c r="C331" t="s">
        <v>32</v>
      </c>
      <c r="D331" t="s">
        <v>33</v>
      </c>
      <c r="E331" t="s">
        <v>44</v>
      </c>
      <c r="F331" t="s">
        <v>16</v>
      </c>
      <c r="G331" t="s">
        <v>17</v>
      </c>
      <c r="H331" t="s">
        <v>29</v>
      </c>
      <c r="I331">
        <v>4</v>
      </c>
      <c r="J331">
        <v>2.88</v>
      </c>
      <c r="K331">
        <v>11.52</v>
      </c>
    </row>
    <row r="332" spans="1:11" x14ac:dyDescent="0.35">
      <c r="A332" t="s">
        <v>401</v>
      </c>
      <c r="B332" t="s">
        <v>52</v>
      </c>
      <c r="C332" t="s">
        <v>43</v>
      </c>
      <c r="D332" t="s">
        <v>33</v>
      </c>
      <c r="E332" t="s">
        <v>44</v>
      </c>
      <c r="F332" t="s">
        <v>40</v>
      </c>
      <c r="G332" t="s">
        <v>24</v>
      </c>
      <c r="H332" t="s">
        <v>18</v>
      </c>
      <c r="I332">
        <v>3</v>
      </c>
      <c r="J332">
        <v>5.26</v>
      </c>
      <c r="K332">
        <v>15.78</v>
      </c>
    </row>
    <row r="333" spans="1:11" x14ac:dyDescent="0.35">
      <c r="A333" t="s">
        <v>402</v>
      </c>
      <c r="B333" t="s">
        <v>111</v>
      </c>
      <c r="C333" t="s">
        <v>61</v>
      </c>
      <c r="D333" t="s">
        <v>14</v>
      </c>
      <c r="E333" t="s">
        <v>63</v>
      </c>
      <c r="F333" t="s">
        <v>40</v>
      </c>
      <c r="G333" t="s">
        <v>35</v>
      </c>
      <c r="H333" t="s">
        <v>18</v>
      </c>
      <c r="I333">
        <v>5</v>
      </c>
      <c r="J333">
        <v>168.04</v>
      </c>
      <c r="K333">
        <v>840.2</v>
      </c>
    </row>
    <row r="334" spans="1:11" x14ac:dyDescent="0.35">
      <c r="A334" t="s">
        <v>403</v>
      </c>
      <c r="B334" t="s">
        <v>31</v>
      </c>
      <c r="C334" t="s">
        <v>32</v>
      </c>
      <c r="D334" t="s">
        <v>33</v>
      </c>
      <c r="E334" t="s">
        <v>44</v>
      </c>
      <c r="F334" t="s">
        <v>28</v>
      </c>
      <c r="G334" t="s">
        <v>17</v>
      </c>
      <c r="H334" t="s">
        <v>18</v>
      </c>
      <c r="I334">
        <v>10</v>
      </c>
      <c r="J334">
        <v>3.12</v>
      </c>
      <c r="K334">
        <v>31.2</v>
      </c>
    </row>
    <row r="335" spans="1:11" x14ac:dyDescent="0.35">
      <c r="A335" t="s">
        <v>404</v>
      </c>
      <c r="B335" t="s">
        <v>118</v>
      </c>
      <c r="C335" t="s">
        <v>21</v>
      </c>
      <c r="D335" t="s">
        <v>22</v>
      </c>
      <c r="E335" t="s">
        <v>39</v>
      </c>
      <c r="F335" t="s">
        <v>34</v>
      </c>
      <c r="G335" t="s">
        <v>45</v>
      </c>
      <c r="H335" t="s">
        <v>18</v>
      </c>
      <c r="I335">
        <v>2</v>
      </c>
      <c r="J335">
        <v>240.68</v>
      </c>
      <c r="K335">
        <v>481.36</v>
      </c>
    </row>
    <row r="336" spans="1:11" x14ac:dyDescent="0.35">
      <c r="A336" t="s">
        <v>405</v>
      </c>
      <c r="B336" t="s">
        <v>90</v>
      </c>
      <c r="C336" t="s">
        <v>43</v>
      </c>
      <c r="D336" t="s">
        <v>33</v>
      </c>
      <c r="E336" t="s">
        <v>39</v>
      </c>
      <c r="F336" t="s">
        <v>28</v>
      </c>
      <c r="G336" t="s">
        <v>24</v>
      </c>
      <c r="H336" t="s">
        <v>29</v>
      </c>
      <c r="I336">
        <v>6</v>
      </c>
      <c r="J336">
        <v>5.95</v>
      </c>
      <c r="K336">
        <v>35.700000000000003</v>
      </c>
    </row>
    <row r="337" spans="1:11" x14ac:dyDescent="0.35">
      <c r="A337" t="s">
        <v>406</v>
      </c>
      <c r="B337" t="s">
        <v>73</v>
      </c>
      <c r="C337" t="s">
        <v>66</v>
      </c>
      <c r="D337" t="s">
        <v>67</v>
      </c>
      <c r="E337" t="s">
        <v>63</v>
      </c>
      <c r="F337" t="s">
        <v>28</v>
      </c>
      <c r="G337" t="s">
        <v>35</v>
      </c>
      <c r="H337" t="s">
        <v>18</v>
      </c>
      <c r="I337">
        <v>1</v>
      </c>
      <c r="J337">
        <v>39.799999999999997</v>
      </c>
      <c r="K337">
        <v>39.799999999999997</v>
      </c>
    </row>
    <row r="338" spans="1:11" x14ac:dyDescent="0.35">
      <c r="A338" t="s">
        <v>407</v>
      </c>
      <c r="B338" t="s">
        <v>94</v>
      </c>
      <c r="C338" t="s">
        <v>38</v>
      </c>
      <c r="D338" t="s">
        <v>14</v>
      </c>
      <c r="E338" t="s">
        <v>39</v>
      </c>
      <c r="F338" t="s">
        <v>47</v>
      </c>
      <c r="G338" t="s">
        <v>35</v>
      </c>
      <c r="H338" t="s">
        <v>29</v>
      </c>
      <c r="I338">
        <v>3</v>
      </c>
      <c r="J338">
        <v>35.770000000000003</v>
      </c>
      <c r="K338">
        <v>107.31</v>
      </c>
    </row>
    <row r="339" spans="1:11" x14ac:dyDescent="0.35">
      <c r="A339" t="s">
        <v>408</v>
      </c>
      <c r="B339" t="s">
        <v>147</v>
      </c>
      <c r="C339" t="s">
        <v>66</v>
      </c>
      <c r="D339" t="s">
        <v>67</v>
      </c>
      <c r="E339" t="s">
        <v>39</v>
      </c>
      <c r="F339" t="s">
        <v>40</v>
      </c>
      <c r="G339" t="s">
        <v>74</v>
      </c>
      <c r="H339" t="s">
        <v>29</v>
      </c>
      <c r="I339">
        <v>7</v>
      </c>
      <c r="J339">
        <v>46.07</v>
      </c>
      <c r="K339">
        <v>322.49</v>
      </c>
    </row>
    <row r="340" spans="1:11" x14ac:dyDescent="0.35">
      <c r="A340" t="s">
        <v>409</v>
      </c>
      <c r="B340" t="s">
        <v>60</v>
      </c>
      <c r="C340" t="s">
        <v>38</v>
      </c>
      <c r="D340" t="s">
        <v>14</v>
      </c>
      <c r="E340" t="s">
        <v>63</v>
      </c>
      <c r="F340" t="s">
        <v>23</v>
      </c>
      <c r="G340" t="s">
        <v>17</v>
      </c>
      <c r="H340" t="s">
        <v>29</v>
      </c>
      <c r="I340">
        <v>7</v>
      </c>
      <c r="J340">
        <v>37.35</v>
      </c>
      <c r="K340">
        <v>261.45</v>
      </c>
    </row>
    <row r="341" spans="1:11" x14ac:dyDescent="0.35">
      <c r="A341" t="s">
        <v>410</v>
      </c>
      <c r="B341" t="s">
        <v>84</v>
      </c>
      <c r="C341" t="s">
        <v>43</v>
      </c>
      <c r="D341" t="s">
        <v>33</v>
      </c>
      <c r="E341" t="s">
        <v>15</v>
      </c>
      <c r="F341" t="s">
        <v>28</v>
      </c>
      <c r="G341" t="s">
        <v>17</v>
      </c>
      <c r="H341" t="s">
        <v>18</v>
      </c>
      <c r="I341">
        <v>2</v>
      </c>
      <c r="J341">
        <v>5.05</v>
      </c>
      <c r="K341">
        <v>10.1</v>
      </c>
    </row>
    <row r="342" spans="1:11" x14ac:dyDescent="0.35">
      <c r="A342" t="s">
        <v>411</v>
      </c>
      <c r="B342" t="s">
        <v>128</v>
      </c>
      <c r="C342" t="s">
        <v>66</v>
      </c>
      <c r="D342" t="s">
        <v>67</v>
      </c>
      <c r="E342" t="s">
        <v>44</v>
      </c>
      <c r="F342" t="s">
        <v>34</v>
      </c>
      <c r="G342" t="s">
        <v>74</v>
      </c>
      <c r="H342" t="s">
        <v>29</v>
      </c>
      <c r="I342">
        <v>4</v>
      </c>
      <c r="J342">
        <v>42.38</v>
      </c>
      <c r="K342">
        <v>169.52</v>
      </c>
    </row>
    <row r="343" spans="1:11" x14ac:dyDescent="0.35">
      <c r="A343" t="s">
        <v>412</v>
      </c>
      <c r="B343" t="s">
        <v>57</v>
      </c>
      <c r="C343" t="s">
        <v>13</v>
      </c>
      <c r="D343" t="s">
        <v>14</v>
      </c>
      <c r="E343" t="s">
        <v>39</v>
      </c>
      <c r="F343" t="s">
        <v>28</v>
      </c>
      <c r="G343" t="s">
        <v>48</v>
      </c>
      <c r="H343" t="s">
        <v>29</v>
      </c>
      <c r="I343">
        <v>10</v>
      </c>
      <c r="J343">
        <v>158.12</v>
      </c>
      <c r="K343">
        <v>1581.2</v>
      </c>
    </row>
    <row r="344" spans="1:11" x14ac:dyDescent="0.35">
      <c r="A344" t="s">
        <v>413</v>
      </c>
      <c r="B344" t="s">
        <v>37</v>
      </c>
      <c r="C344" t="s">
        <v>27</v>
      </c>
      <c r="D344" t="s">
        <v>14</v>
      </c>
      <c r="E344" t="s">
        <v>15</v>
      </c>
      <c r="F344" t="s">
        <v>16</v>
      </c>
      <c r="G344" t="s">
        <v>35</v>
      </c>
      <c r="H344" t="s">
        <v>18</v>
      </c>
      <c r="I344">
        <v>7</v>
      </c>
      <c r="J344">
        <v>23.76</v>
      </c>
      <c r="K344">
        <v>166.32</v>
      </c>
    </row>
    <row r="345" spans="1:11" x14ac:dyDescent="0.35">
      <c r="A345" t="s">
        <v>414</v>
      </c>
      <c r="B345" t="s">
        <v>20</v>
      </c>
      <c r="C345" t="s">
        <v>27</v>
      </c>
      <c r="D345" t="s">
        <v>14</v>
      </c>
      <c r="E345" t="s">
        <v>15</v>
      </c>
      <c r="F345" t="s">
        <v>28</v>
      </c>
      <c r="G345" t="s">
        <v>17</v>
      </c>
      <c r="H345" t="s">
        <v>18</v>
      </c>
      <c r="I345">
        <v>5</v>
      </c>
      <c r="J345">
        <v>19.75</v>
      </c>
      <c r="K345">
        <v>98.75</v>
      </c>
    </row>
    <row r="346" spans="1:11" x14ac:dyDescent="0.35">
      <c r="A346" t="s">
        <v>415</v>
      </c>
      <c r="B346" t="s">
        <v>42</v>
      </c>
      <c r="C346" t="s">
        <v>43</v>
      </c>
      <c r="D346" t="s">
        <v>33</v>
      </c>
      <c r="E346" t="s">
        <v>39</v>
      </c>
      <c r="F346" t="s">
        <v>23</v>
      </c>
      <c r="G346" t="s">
        <v>17</v>
      </c>
      <c r="H346" t="s">
        <v>18</v>
      </c>
      <c r="I346">
        <v>10</v>
      </c>
      <c r="J346">
        <v>4.83</v>
      </c>
      <c r="K346">
        <v>48.3</v>
      </c>
    </row>
    <row r="347" spans="1:11" x14ac:dyDescent="0.35">
      <c r="A347" t="s">
        <v>416</v>
      </c>
      <c r="B347" t="s">
        <v>20</v>
      </c>
      <c r="C347" t="s">
        <v>43</v>
      </c>
      <c r="D347" t="s">
        <v>33</v>
      </c>
      <c r="E347" t="s">
        <v>15</v>
      </c>
      <c r="F347" t="s">
        <v>23</v>
      </c>
      <c r="G347" t="s">
        <v>24</v>
      </c>
      <c r="H347" t="s">
        <v>18</v>
      </c>
      <c r="I347">
        <v>6</v>
      </c>
      <c r="J347">
        <v>5.0999999999999996</v>
      </c>
      <c r="K347">
        <v>30.6</v>
      </c>
    </row>
    <row r="348" spans="1:11" x14ac:dyDescent="0.35">
      <c r="A348" t="s">
        <v>417</v>
      </c>
      <c r="B348" t="s">
        <v>88</v>
      </c>
      <c r="C348" t="s">
        <v>32</v>
      </c>
      <c r="D348" t="s">
        <v>33</v>
      </c>
      <c r="E348" t="s">
        <v>39</v>
      </c>
      <c r="F348" t="s">
        <v>28</v>
      </c>
      <c r="G348" t="s">
        <v>17</v>
      </c>
      <c r="H348" t="s">
        <v>18</v>
      </c>
      <c r="I348">
        <v>7</v>
      </c>
      <c r="J348">
        <v>3.22</v>
      </c>
      <c r="K348">
        <v>22.54</v>
      </c>
    </row>
    <row r="349" spans="1:11" x14ac:dyDescent="0.35">
      <c r="A349" t="s">
        <v>418</v>
      </c>
      <c r="B349" t="s">
        <v>111</v>
      </c>
      <c r="C349" t="s">
        <v>21</v>
      </c>
      <c r="D349" t="s">
        <v>22</v>
      </c>
      <c r="E349" t="s">
        <v>15</v>
      </c>
      <c r="F349" t="s">
        <v>23</v>
      </c>
      <c r="G349" t="s">
        <v>48</v>
      </c>
      <c r="H349" t="s">
        <v>29</v>
      </c>
      <c r="I349">
        <v>4</v>
      </c>
      <c r="J349">
        <v>256.98</v>
      </c>
      <c r="K349">
        <v>1027.92</v>
      </c>
    </row>
    <row r="350" spans="1:11" x14ac:dyDescent="0.35">
      <c r="A350" t="s">
        <v>419</v>
      </c>
      <c r="B350" t="s">
        <v>50</v>
      </c>
      <c r="C350" t="s">
        <v>38</v>
      </c>
      <c r="D350" t="s">
        <v>14</v>
      </c>
      <c r="E350" t="s">
        <v>15</v>
      </c>
      <c r="F350" t="s">
        <v>47</v>
      </c>
      <c r="G350" t="s">
        <v>74</v>
      </c>
      <c r="H350" t="s">
        <v>18</v>
      </c>
      <c r="I350">
        <v>10</v>
      </c>
      <c r="J350">
        <v>31.7</v>
      </c>
      <c r="K350">
        <v>317</v>
      </c>
    </row>
    <row r="351" spans="1:11" x14ac:dyDescent="0.35">
      <c r="A351" t="s">
        <v>420</v>
      </c>
      <c r="B351" t="s">
        <v>77</v>
      </c>
      <c r="C351" t="s">
        <v>27</v>
      </c>
      <c r="D351" t="s">
        <v>14</v>
      </c>
      <c r="E351" t="s">
        <v>63</v>
      </c>
      <c r="F351" t="s">
        <v>28</v>
      </c>
      <c r="G351" t="s">
        <v>48</v>
      </c>
      <c r="H351" t="s">
        <v>29</v>
      </c>
      <c r="I351">
        <v>9</v>
      </c>
      <c r="J351">
        <v>19.32</v>
      </c>
      <c r="K351">
        <v>173.88</v>
      </c>
    </row>
    <row r="352" spans="1:11" x14ac:dyDescent="0.35">
      <c r="A352" t="s">
        <v>421</v>
      </c>
      <c r="B352" t="s">
        <v>90</v>
      </c>
      <c r="C352" t="s">
        <v>66</v>
      </c>
      <c r="D352" t="s">
        <v>67</v>
      </c>
      <c r="E352" t="s">
        <v>39</v>
      </c>
      <c r="F352" t="s">
        <v>47</v>
      </c>
      <c r="G352" t="s">
        <v>74</v>
      </c>
      <c r="H352" t="s">
        <v>29</v>
      </c>
      <c r="I352">
        <v>6</v>
      </c>
      <c r="J352">
        <v>40.31</v>
      </c>
      <c r="K352">
        <v>241.86</v>
      </c>
    </row>
    <row r="353" spans="1:11" x14ac:dyDescent="0.35">
      <c r="A353" t="s">
        <v>422</v>
      </c>
      <c r="B353" t="s">
        <v>42</v>
      </c>
      <c r="C353" t="s">
        <v>27</v>
      </c>
      <c r="D353" t="s">
        <v>14</v>
      </c>
      <c r="E353" t="s">
        <v>63</v>
      </c>
      <c r="F353" t="s">
        <v>23</v>
      </c>
      <c r="G353" t="s">
        <v>45</v>
      </c>
      <c r="H353" t="s">
        <v>29</v>
      </c>
      <c r="I353">
        <v>9</v>
      </c>
      <c r="J353">
        <v>22.9</v>
      </c>
      <c r="K353">
        <v>206.1</v>
      </c>
    </row>
    <row r="354" spans="1:11" x14ac:dyDescent="0.35">
      <c r="A354" t="s">
        <v>423</v>
      </c>
      <c r="B354" t="s">
        <v>71</v>
      </c>
      <c r="C354" t="s">
        <v>21</v>
      </c>
      <c r="D354" t="s">
        <v>22</v>
      </c>
      <c r="E354" t="s">
        <v>15</v>
      </c>
      <c r="F354" t="s">
        <v>16</v>
      </c>
      <c r="G354" t="s">
        <v>48</v>
      </c>
      <c r="H354" t="s">
        <v>29</v>
      </c>
      <c r="I354">
        <v>2</v>
      </c>
      <c r="J354">
        <v>290.64999999999998</v>
      </c>
      <c r="K354">
        <v>581.29999999999995</v>
      </c>
    </row>
    <row r="355" spans="1:11" x14ac:dyDescent="0.35">
      <c r="A355" t="s">
        <v>424</v>
      </c>
      <c r="B355" t="s">
        <v>118</v>
      </c>
      <c r="C355" t="s">
        <v>13</v>
      </c>
      <c r="D355" t="s">
        <v>14</v>
      </c>
      <c r="E355" t="s">
        <v>63</v>
      </c>
      <c r="F355" t="s">
        <v>16</v>
      </c>
      <c r="G355" t="s">
        <v>45</v>
      </c>
      <c r="H355" t="s">
        <v>29</v>
      </c>
      <c r="I355">
        <v>7</v>
      </c>
      <c r="J355">
        <v>161.41999999999999</v>
      </c>
      <c r="K355">
        <v>1129.94</v>
      </c>
    </row>
    <row r="356" spans="1:11" x14ac:dyDescent="0.35">
      <c r="A356" t="s">
        <v>425</v>
      </c>
      <c r="B356" t="s">
        <v>111</v>
      </c>
      <c r="C356" t="s">
        <v>38</v>
      </c>
      <c r="D356" t="s">
        <v>14</v>
      </c>
      <c r="E356" t="s">
        <v>63</v>
      </c>
      <c r="F356" t="s">
        <v>16</v>
      </c>
      <c r="G356" t="s">
        <v>74</v>
      </c>
      <c r="H356" t="s">
        <v>18</v>
      </c>
      <c r="I356">
        <v>4</v>
      </c>
      <c r="J356">
        <v>33.75</v>
      </c>
      <c r="K356">
        <v>135</v>
      </c>
    </row>
    <row r="357" spans="1:11" x14ac:dyDescent="0.35">
      <c r="A357" t="s">
        <v>426</v>
      </c>
      <c r="B357" t="s">
        <v>26</v>
      </c>
      <c r="C357" t="s">
        <v>43</v>
      </c>
      <c r="D357" t="s">
        <v>33</v>
      </c>
      <c r="E357" t="s">
        <v>39</v>
      </c>
      <c r="F357" t="s">
        <v>23</v>
      </c>
      <c r="G357" t="s">
        <v>48</v>
      </c>
      <c r="H357" t="s">
        <v>18</v>
      </c>
      <c r="I357">
        <v>3</v>
      </c>
      <c r="J357">
        <v>5.5</v>
      </c>
      <c r="K357">
        <v>16.5</v>
      </c>
    </row>
    <row r="358" spans="1:11" x14ac:dyDescent="0.35">
      <c r="A358" t="s">
        <v>427</v>
      </c>
      <c r="B358" t="s">
        <v>118</v>
      </c>
      <c r="C358" t="s">
        <v>43</v>
      </c>
      <c r="D358" t="s">
        <v>33</v>
      </c>
      <c r="E358" t="s">
        <v>44</v>
      </c>
      <c r="F358" t="s">
        <v>16</v>
      </c>
      <c r="G358" t="s">
        <v>74</v>
      </c>
      <c r="H358" t="s">
        <v>29</v>
      </c>
      <c r="I358">
        <v>6</v>
      </c>
      <c r="J358">
        <v>5.61</v>
      </c>
      <c r="K358">
        <v>33.659999999999997</v>
      </c>
    </row>
    <row r="359" spans="1:11" x14ac:dyDescent="0.35">
      <c r="A359" t="s">
        <v>428</v>
      </c>
      <c r="B359" t="s">
        <v>60</v>
      </c>
      <c r="C359" t="s">
        <v>61</v>
      </c>
      <c r="D359" t="s">
        <v>14</v>
      </c>
      <c r="E359" t="s">
        <v>15</v>
      </c>
      <c r="F359" t="s">
        <v>47</v>
      </c>
      <c r="G359" t="s">
        <v>24</v>
      </c>
      <c r="H359" t="s">
        <v>29</v>
      </c>
      <c r="I359">
        <v>2</v>
      </c>
      <c r="J359">
        <v>213.95</v>
      </c>
      <c r="K359">
        <v>427.9</v>
      </c>
    </row>
    <row r="360" spans="1:11" x14ac:dyDescent="0.35">
      <c r="A360" t="s">
        <v>429</v>
      </c>
      <c r="B360" t="s">
        <v>65</v>
      </c>
      <c r="C360" t="s">
        <v>38</v>
      </c>
      <c r="D360" t="s">
        <v>14</v>
      </c>
      <c r="E360" t="s">
        <v>39</v>
      </c>
      <c r="F360" t="s">
        <v>16</v>
      </c>
      <c r="G360" t="s">
        <v>74</v>
      </c>
      <c r="H360" t="s">
        <v>29</v>
      </c>
      <c r="I360">
        <v>1</v>
      </c>
      <c r="J360">
        <v>34.72</v>
      </c>
      <c r="K360">
        <v>34.72</v>
      </c>
    </row>
    <row r="361" spans="1:11" x14ac:dyDescent="0.35">
      <c r="A361" t="s">
        <v>430</v>
      </c>
      <c r="B361" t="s">
        <v>111</v>
      </c>
      <c r="C361" t="s">
        <v>21</v>
      </c>
      <c r="D361" t="s">
        <v>22</v>
      </c>
      <c r="E361" t="s">
        <v>63</v>
      </c>
      <c r="F361" t="s">
        <v>16</v>
      </c>
      <c r="G361" t="s">
        <v>35</v>
      </c>
      <c r="H361" t="s">
        <v>29</v>
      </c>
      <c r="I361">
        <v>7</v>
      </c>
      <c r="J361">
        <v>278.22000000000003</v>
      </c>
      <c r="K361">
        <v>1947.54</v>
      </c>
    </row>
    <row r="362" spans="1:11" x14ac:dyDescent="0.35">
      <c r="A362" t="s">
        <v>431</v>
      </c>
      <c r="B362" t="s">
        <v>128</v>
      </c>
      <c r="C362" t="s">
        <v>27</v>
      </c>
      <c r="D362" t="s">
        <v>14</v>
      </c>
      <c r="E362" t="s">
        <v>39</v>
      </c>
      <c r="F362" t="s">
        <v>23</v>
      </c>
      <c r="G362" t="s">
        <v>74</v>
      </c>
      <c r="H362" t="s">
        <v>29</v>
      </c>
      <c r="I362">
        <v>9</v>
      </c>
      <c r="J362">
        <v>19.5</v>
      </c>
      <c r="K362">
        <v>175.5</v>
      </c>
    </row>
    <row r="363" spans="1:11" x14ac:dyDescent="0.35">
      <c r="A363" t="s">
        <v>432</v>
      </c>
      <c r="B363" t="s">
        <v>57</v>
      </c>
      <c r="C363" t="s">
        <v>66</v>
      </c>
      <c r="D363" t="s">
        <v>67</v>
      </c>
      <c r="E363" t="s">
        <v>39</v>
      </c>
      <c r="F363" t="s">
        <v>23</v>
      </c>
      <c r="G363" t="s">
        <v>35</v>
      </c>
      <c r="H363" t="s">
        <v>29</v>
      </c>
      <c r="I363">
        <v>8</v>
      </c>
      <c r="J363">
        <v>45.95</v>
      </c>
      <c r="K363">
        <v>367.6</v>
      </c>
    </row>
    <row r="364" spans="1:11" x14ac:dyDescent="0.35">
      <c r="A364" t="s">
        <v>433</v>
      </c>
      <c r="B364" t="s">
        <v>118</v>
      </c>
      <c r="C364" t="s">
        <v>27</v>
      </c>
      <c r="D364" t="s">
        <v>14</v>
      </c>
      <c r="E364" t="s">
        <v>39</v>
      </c>
      <c r="F364" t="s">
        <v>34</v>
      </c>
      <c r="G364" t="s">
        <v>24</v>
      </c>
      <c r="H364" t="s">
        <v>18</v>
      </c>
      <c r="I364">
        <v>2</v>
      </c>
      <c r="J364">
        <v>23.47</v>
      </c>
      <c r="K364">
        <v>46.94</v>
      </c>
    </row>
    <row r="365" spans="1:11" x14ac:dyDescent="0.35">
      <c r="A365" t="s">
        <v>434</v>
      </c>
      <c r="B365" t="s">
        <v>88</v>
      </c>
      <c r="C365" t="s">
        <v>27</v>
      </c>
      <c r="D365" t="s">
        <v>14</v>
      </c>
      <c r="E365" t="s">
        <v>63</v>
      </c>
      <c r="F365" t="s">
        <v>47</v>
      </c>
      <c r="G365" t="s">
        <v>45</v>
      </c>
      <c r="H365" t="s">
        <v>18</v>
      </c>
      <c r="I365">
        <v>8</v>
      </c>
      <c r="J365">
        <v>21.66</v>
      </c>
      <c r="K365">
        <v>173.28</v>
      </c>
    </row>
    <row r="366" spans="1:11" x14ac:dyDescent="0.35">
      <c r="A366" t="s">
        <v>435</v>
      </c>
      <c r="B366" t="s">
        <v>94</v>
      </c>
      <c r="C366" t="s">
        <v>38</v>
      </c>
      <c r="D366" t="s">
        <v>14</v>
      </c>
      <c r="E366" t="s">
        <v>39</v>
      </c>
      <c r="F366" t="s">
        <v>16</v>
      </c>
      <c r="G366" t="s">
        <v>24</v>
      </c>
      <c r="H366" t="s">
        <v>18</v>
      </c>
      <c r="I366">
        <v>4</v>
      </c>
      <c r="J366">
        <v>33.69</v>
      </c>
      <c r="K366">
        <v>134.76</v>
      </c>
    </row>
    <row r="367" spans="1:11" x14ac:dyDescent="0.35">
      <c r="A367" t="s">
        <v>436</v>
      </c>
      <c r="B367" t="s">
        <v>69</v>
      </c>
      <c r="C367" t="s">
        <v>55</v>
      </c>
      <c r="D367" t="s">
        <v>14</v>
      </c>
      <c r="E367" t="s">
        <v>63</v>
      </c>
      <c r="F367" t="s">
        <v>34</v>
      </c>
      <c r="G367" t="s">
        <v>17</v>
      </c>
      <c r="H367" t="s">
        <v>18</v>
      </c>
      <c r="I367">
        <v>2</v>
      </c>
      <c r="J367">
        <v>735.38</v>
      </c>
      <c r="K367">
        <v>1470.76</v>
      </c>
    </row>
    <row r="368" spans="1:11" x14ac:dyDescent="0.35">
      <c r="A368" t="s">
        <v>437</v>
      </c>
      <c r="B368" t="s">
        <v>69</v>
      </c>
      <c r="C368" t="s">
        <v>66</v>
      </c>
      <c r="D368" t="s">
        <v>67</v>
      </c>
      <c r="E368" t="s">
        <v>63</v>
      </c>
      <c r="F368" t="s">
        <v>16</v>
      </c>
      <c r="G368" t="s">
        <v>74</v>
      </c>
      <c r="H368" t="s">
        <v>29</v>
      </c>
      <c r="I368">
        <v>9</v>
      </c>
      <c r="J368">
        <v>47.02</v>
      </c>
      <c r="K368">
        <v>423.18</v>
      </c>
    </row>
    <row r="369" spans="1:11" x14ac:dyDescent="0.35">
      <c r="A369" t="s">
        <v>438</v>
      </c>
      <c r="B369" t="s">
        <v>90</v>
      </c>
      <c r="C369" t="s">
        <v>43</v>
      </c>
      <c r="D369" t="s">
        <v>33</v>
      </c>
      <c r="E369" t="s">
        <v>63</v>
      </c>
      <c r="F369" t="s">
        <v>40</v>
      </c>
      <c r="G369" t="s">
        <v>48</v>
      </c>
      <c r="H369" t="s">
        <v>29</v>
      </c>
      <c r="I369">
        <v>3</v>
      </c>
      <c r="J369">
        <v>5.46</v>
      </c>
      <c r="K369">
        <v>16.38</v>
      </c>
    </row>
    <row r="370" spans="1:11" x14ac:dyDescent="0.35">
      <c r="A370" t="s">
        <v>439</v>
      </c>
      <c r="B370" t="s">
        <v>37</v>
      </c>
      <c r="C370" t="s">
        <v>27</v>
      </c>
      <c r="D370" t="s">
        <v>14</v>
      </c>
      <c r="E370" t="s">
        <v>44</v>
      </c>
      <c r="F370" t="s">
        <v>47</v>
      </c>
      <c r="G370" t="s">
        <v>74</v>
      </c>
      <c r="H370" t="s">
        <v>18</v>
      </c>
      <c r="I370">
        <v>8</v>
      </c>
      <c r="J370">
        <v>18.36</v>
      </c>
      <c r="K370">
        <v>146.88</v>
      </c>
    </row>
    <row r="371" spans="1:11" x14ac:dyDescent="0.35">
      <c r="A371" t="s">
        <v>440</v>
      </c>
      <c r="B371" t="s">
        <v>37</v>
      </c>
      <c r="C371" t="s">
        <v>38</v>
      </c>
      <c r="D371" t="s">
        <v>14</v>
      </c>
      <c r="E371" t="s">
        <v>63</v>
      </c>
      <c r="F371" t="s">
        <v>16</v>
      </c>
      <c r="G371" t="s">
        <v>35</v>
      </c>
      <c r="H371" t="s">
        <v>18</v>
      </c>
      <c r="I371">
        <v>10</v>
      </c>
      <c r="J371">
        <v>35.729999999999997</v>
      </c>
      <c r="K371">
        <v>357.3</v>
      </c>
    </row>
    <row r="372" spans="1:11" x14ac:dyDescent="0.35">
      <c r="A372" t="s">
        <v>441</v>
      </c>
      <c r="B372" t="s">
        <v>73</v>
      </c>
      <c r="C372" t="s">
        <v>61</v>
      </c>
      <c r="D372" t="s">
        <v>14</v>
      </c>
      <c r="E372" t="s">
        <v>63</v>
      </c>
      <c r="F372" t="s">
        <v>47</v>
      </c>
      <c r="G372" t="s">
        <v>45</v>
      </c>
      <c r="H372" t="s">
        <v>18</v>
      </c>
      <c r="I372">
        <v>9</v>
      </c>
      <c r="J372">
        <v>182.72</v>
      </c>
      <c r="K372">
        <v>1644.48</v>
      </c>
    </row>
    <row r="373" spans="1:11" x14ac:dyDescent="0.35">
      <c r="A373" t="s">
        <v>442</v>
      </c>
      <c r="B373" t="s">
        <v>69</v>
      </c>
      <c r="C373" t="s">
        <v>61</v>
      </c>
      <c r="D373" t="s">
        <v>14</v>
      </c>
      <c r="E373" t="s">
        <v>39</v>
      </c>
      <c r="F373" t="s">
        <v>40</v>
      </c>
      <c r="G373" t="s">
        <v>35</v>
      </c>
      <c r="H373" t="s">
        <v>18</v>
      </c>
      <c r="I373">
        <v>7</v>
      </c>
      <c r="J373">
        <v>196.61</v>
      </c>
      <c r="K373">
        <v>1376.27</v>
      </c>
    </row>
    <row r="374" spans="1:11" x14ac:dyDescent="0.35">
      <c r="A374" t="s">
        <v>443</v>
      </c>
      <c r="B374" t="s">
        <v>71</v>
      </c>
      <c r="C374" t="s">
        <v>43</v>
      </c>
      <c r="D374" t="s">
        <v>33</v>
      </c>
      <c r="E374" t="s">
        <v>39</v>
      </c>
      <c r="F374" t="s">
        <v>47</v>
      </c>
      <c r="G374" t="s">
        <v>74</v>
      </c>
      <c r="H374" t="s">
        <v>29</v>
      </c>
      <c r="I374">
        <v>4</v>
      </c>
      <c r="J374">
        <v>4.5599999999999996</v>
      </c>
      <c r="K374">
        <v>18.239999999999998</v>
      </c>
    </row>
    <row r="375" spans="1:11" x14ac:dyDescent="0.35">
      <c r="A375" t="s">
        <v>444</v>
      </c>
      <c r="B375" t="s">
        <v>50</v>
      </c>
      <c r="C375" t="s">
        <v>58</v>
      </c>
      <c r="D375" t="s">
        <v>22</v>
      </c>
      <c r="E375" t="s">
        <v>63</v>
      </c>
      <c r="F375" t="s">
        <v>28</v>
      </c>
      <c r="G375" t="s">
        <v>24</v>
      </c>
      <c r="H375" t="s">
        <v>29</v>
      </c>
      <c r="I375">
        <v>5</v>
      </c>
      <c r="J375">
        <v>122.62</v>
      </c>
      <c r="K375">
        <v>613.1</v>
      </c>
    </row>
    <row r="376" spans="1:11" x14ac:dyDescent="0.35">
      <c r="A376" t="s">
        <v>445</v>
      </c>
      <c r="B376" t="s">
        <v>37</v>
      </c>
      <c r="C376" t="s">
        <v>13</v>
      </c>
      <c r="D376" t="s">
        <v>14</v>
      </c>
      <c r="E376" t="s">
        <v>39</v>
      </c>
      <c r="F376" t="s">
        <v>40</v>
      </c>
      <c r="G376" t="s">
        <v>24</v>
      </c>
      <c r="H376" t="s">
        <v>29</v>
      </c>
      <c r="I376">
        <v>10</v>
      </c>
      <c r="J376">
        <v>163.01</v>
      </c>
      <c r="K376">
        <v>1630.1</v>
      </c>
    </row>
    <row r="377" spans="1:11" x14ac:dyDescent="0.35">
      <c r="A377" t="s">
        <v>446</v>
      </c>
      <c r="B377" t="s">
        <v>26</v>
      </c>
      <c r="C377" t="s">
        <v>27</v>
      </c>
      <c r="D377" t="s">
        <v>14</v>
      </c>
      <c r="E377" t="s">
        <v>15</v>
      </c>
      <c r="F377" t="s">
        <v>28</v>
      </c>
      <c r="G377" t="s">
        <v>74</v>
      </c>
      <c r="H377" t="s">
        <v>18</v>
      </c>
      <c r="I377">
        <v>8</v>
      </c>
      <c r="J377">
        <v>20.74</v>
      </c>
      <c r="K377">
        <v>165.92</v>
      </c>
    </row>
    <row r="378" spans="1:11" x14ac:dyDescent="0.35">
      <c r="A378" t="s">
        <v>447</v>
      </c>
      <c r="B378" t="s">
        <v>69</v>
      </c>
      <c r="C378" t="s">
        <v>43</v>
      </c>
      <c r="D378" t="s">
        <v>33</v>
      </c>
      <c r="E378" t="s">
        <v>39</v>
      </c>
      <c r="F378" t="s">
        <v>23</v>
      </c>
      <c r="G378" t="s">
        <v>48</v>
      </c>
      <c r="H378" t="s">
        <v>29</v>
      </c>
      <c r="I378">
        <v>2</v>
      </c>
      <c r="J378">
        <v>4.67</v>
      </c>
      <c r="K378">
        <v>9.34</v>
      </c>
    </row>
    <row r="379" spans="1:11" x14ac:dyDescent="0.35">
      <c r="A379" t="s">
        <v>448</v>
      </c>
      <c r="B379" t="s">
        <v>71</v>
      </c>
      <c r="C379" t="s">
        <v>58</v>
      </c>
      <c r="D379" t="s">
        <v>22</v>
      </c>
      <c r="E379" t="s">
        <v>39</v>
      </c>
      <c r="F379" t="s">
        <v>47</v>
      </c>
      <c r="G379" t="s">
        <v>48</v>
      </c>
      <c r="H379" t="s">
        <v>29</v>
      </c>
      <c r="I379">
        <v>9</v>
      </c>
      <c r="J379">
        <v>119.52</v>
      </c>
      <c r="K379">
        <v>1075.68</v>
      </c>
    </row>
    <row r="380" spans="1:11" x14ac:dyDescent="0.35">
      <c r="A380" t="s">
        <v>449</v>
      </c>
      <c r="B380" t="s">
        <v>102</v>
      </c>
      <c r="C380" t="s">
        <v>21</v>
      </c>
      <c r="D380" t="s">
        <v>22</v>
      </c>
      <c r="E380" t="s">
        <v>44</v>
      </c>
      <c r="F380" t="s">
        <v>16</v>
      </c>
      <c r="G380" t="s">
        <v>45</v>
      </c>
      <c r="H380" t="s">
        <v>29</v>
      </c>
      <c r="I380">
        <v>3</v>
      </c>
      <c r="J380">
        <v>290.48</v>
      </c>
      <c r="K380">
        <v>871.44</v>
      </c>
    </row>
    <row r="381" spans="1:11" x14ac:dyDescent="0.35">
      <c r="A381" t="s">
        <v>450</v>
      </c>
      <c r="B381" t="s">
        <v>57</v>
      </c>
      <c r="C381" t="s">
        <v>61</v>
      </c>
      <c r="D381" t="s">
        <v>14</v>
      </c>
      <c r="E381" t="s">
        <v>44</v>
      </c>
      <c r="F381" t="s">
        <v>23</v>
      </c>
      <c r="G381" t="s">
        <v>45</v>
      </c>
      <c r="H381" t="s">
        <v>18</v>
      </c>
      <c r="I381">
        <v>1</v>
      </c>
      <c r="J381">
        <v>196.29</v>
      </c>
      <c r="K381">
        <v>196.29</v>
      </c>
    </row>
    <row r="382" spans="1:11" x14ac:dyDescent="0.35">
      <c r="A382" t="s">
        <v>451</v>
      </c>
      <c r="B382" t="s">
        <v>102</v>
      </c>
      <c r="C382" t="s">
        <v>66</v>
      </c>
      <c r="D382" t="s">
        <v>67</v>
      </c>
      <c r="E382" t="s">
        <v>63</v>
      </c>
      <c r="F382" t="s">
        <v>23</v>
      </c>
      <c r="G382" t="s">
        <v>24</v>
      </c>
      <c r="H382" t="s">
        <v>18</v>
      </c>
      <c r="I382">
        <v>2</v>
      </c>
      <c r="J382">
        <v>40.47</v>
      </c>
      <c r="K382">
        <v>80.94</v>
      </c>
    </row>
    <row r="383" spans="1:11" x14ac:dyDescent="0.35">
      <c r="A383" t="s">
        <v>452</v>
      </c>
      <c r="B383" t="s">
        <v>31</v>
      </c>
      <c r="C383" t="s">
        <v>32</v>
      </c>
      <c r="D383" t="s">
        <v>33</v>
      </c>
      <c r="E383" t="s">
        <v>39</v>
      </c>
      <c r="F383" t="s">
        <v>34</v>
      </c>
      <c r="G383" t="s">
        <v>24</v>
      </c>
      <c r="H383" t="s">
        <v>29</v>
      </c>
      <c r="I383">
        <v>3</v>
      </c>
      <c r="J383">
        <v>2.85</v>
      </c>
      <c r="K383">
        <v>8.5500000000000007</v>
      </c>
    </row>
    <row r="384" spans="1:11" x14ac:dyDescent="0.35">
      <c r="A384" t="s">
        <v>453</v>
      </c>
      <c r="B384" t="s">
        <v>69</v>
      </c>
      <c r="C384" t="s">
        <v>66</v>
      </c>
      <c r="D384" t="s">
        <v>67</v>
      </c>
      <c r="E384" t="s">
        <v>15</v>
      </c>
      <c r="F384" t="s">
        <v>28</v>
      </c>
      <c r="G384" t="s">
        <v>35</v>
      </c>
      <c r="H384" t="s">
        <v>18</v>
      </c>
      <c r="I384">
        <v>4</v>
      </c>
      <c r="J384">
        <v>43.01</v>
      </c>
      <c r="K384">
        <v>172.04</v>
      </c>
    </row>
    <row r="385" spans="1:11" x14ac:dyDescent="0.35">
      <c r="A385" t="s">
        <v>454</v>
      </c>
      <c r="B385" t="s">
        <v>128</v>
      </c>
      <c r="C385" t="s">
        <v>55</v>
      </c>
      <c r="D385" t="s">
        <v>14</v>
      </c>
      <c r="E385" t="s">
        <v>15</v>
      </c>
      <c r="F385" t="s">
        <v>28</v>
      </c>
      <c r="G385" t="s">
        <v>24</v>
      </c>
      <c r="H385" t="s">
        <v>18</v>
      </c>
      <c r="I385">
        <v>7</v>
      </c>
      <c r="J385">
        <v>698.29</v>
      </c>
      <c r="K385">
        <v>4888.03</v>
      </c>
    </row>
    <row r="386" spans="1:11" x14ac:dyDescent="0.35">
      <c r="A386" t="s">
        <v>455</v>
      </c>
      <c r="B386" t="s">
        <v>20</v>
      </c>
      <c r="C386" t="s">
        <v>61</v>
      </c>
      <c r="D386" t="s">
        <v>14</v>
      </c>
      <c r="E386" t="s">
        <v>39</v>
      </c>
      <c r="F386" t="s">
        <v>28</v>
      </c>
      <c r="G386" t="s">
        <v>35</v>
      </c>
      <c r="H386" t="s">
        <v>29</v>
      </c>
      <c r="I386">
        <v>8</v>
      </c>
      <c r="J386">
        <v>187.01</v>
      </c>
      <c r="K386">
        <v>1496.08</v>
      </c>
    </row>
    <row r="387" spans="1:11" x14ac:dyDescent="0.35">
      <c r="A387" t="s">
        <v>456</v>
      </c>
      <c r="B387" t="s">
        <v>60</v>
      </c>
      <c r="C387" t="s">
        <v>43</v>
      </c>
      <c r="D387" t="s">
        <v>33</v>
      </c>
      <c r="E387" t="s">
        <v>63</v>
      </c>
      <c r="F387" t="s">
        <v>16</v>
      </c>
      <c r="G387" t="s">
        <v>24</v>
      </c>
      <c r="H387" t="s">
        <v>29</v>
      </c>
      <c r="I387">
        <v>5</v>
      </c>
      <c r="J387">
        <v>5.46</v>
      </c>
      <c r="K387">
        <v>27.3</v>
      </c>
    </row>
    <row r="388" spans="1:11" x14ac:dyDescent="0.35">
      <c r="A388" t="s">
        <v>457</v>
      </c>
      <c r="B388" t="s">
        <v>69</v>
      </c>
      <c r="C388" t="s">
        <v>55</v>
      </c>
      <c r="D388" t="s">
        <v>14</v>
      </c>
      <c r="E388" t="s">
        <v>15</v>
      </c>
      <c r="F388" t="s">
        <v>47</v>
      </c>
      <c r="G388" t="s">
        <v>35</v>
      </c>
      <c r="H388" t="s">
        <v>29</v>
      </c>
      <c r="I388">
        <v>1</v>
      </c>
      <c r="J388">
        <v>676.03</v>
      </c>
      <c r="K388">
        <v>676.03</v>
      </c>
    </row>
    <row r="389" spans="1:11" x14ac:dyDescent="0.35">
      <c r="A389" t="s">
        <v>458</v>
      </c>
      <c r="B389" t="s">
        <v>31</v>
      </c>
      <c r="C389" t="s">
        <v>61</v>
      </c>
      <c r="D389" t="s">
        <v>14</v>
      </c>
      <c r="E389" t="s">
        <v>39</v>
      </c>
      <c r="F389" t="s">
        <v>40</v>
      </c>
      <c r="G389" t="s">
        <v>35</v>
      </c>
      <c r="H389" t="s">
        <v>29</v>
      </c>
      <c r="I389">
        <v>2</v>
      </c>
      <c r="J389">
        <v>177.31</v>
      </c>
      <c r="K389">
        <v>354.62</v>
      </c>
    </row>
    <row r="390" spans="1:11" x14ac:dyDescent="0.35">
      <c r="A390" t="s">
        <v>459</v>
      </c>
      <c r="B390" t="s">
        <v>71</v>
      </c>
      <c r="C390" t="s">
        <v>32</v>
      </c>
      <c r="D390" t="s">
        <v>33</v>
      </c>
      <c r="E390" t="s">
        <v>15</v>
      </c>
      <c r="F390" t="s">
        <v>28</v>
      </c>
      <c r="G390" t="s">
        <v>24</v>
      </c>
      <c r="H390" t="s">
        <v>29</v>
      </c>
      <c r="I390">
        <v>3</v>
      </c>
      <c r="J390">
        <v>3.18</v>
      </c>
      <c r="K390">
        <v>9.5399999999999991</v>
      </c>
    </row>
    <row r="391" spans="1:11" x14ac:dyDescent="0.35">
      <c r="A391" t="s">
        <v>460</v>
      </c>
      <c r="B391" t="s">
        <v>84</v>
      </c>
      <c r="C391" t="s">
        <v>61</v>
      </c>
      <c r="D391" t="s">
        <v>14</v>
      </c>
      <c r="E391" t="s">
        <v>15</v>
      </c>
      <c r="F391" t="s">
        <v>47</v>
      </c>
      <c r="G391" t="s">
        <v>35</v>
      </c>
      <c r="H391" t="s">
        <v>29</v>
      </c>
      <c r="I391">
        <v>1</v>
      </c>
      <c r="J391">
        <v>194.04</v>
      </c>
      <c r="K391">
        <v>194.04</v>
      </c>
    </row>
    <row r="392" spans="1:11" x14ac:dyDescent="0.35">
      <c r="A392" t="s">
        <v>461</v>
      </c>
      <c r="B392" t="s">
        <v>26</v>
      </c>
      <c r="C392" t="s">
        <v>43</v>
      </c>
      <c r="D392" t="s">
        <v>33</v>
      </c>
      <c r="E392" t="s">
        <v>15</v>
      </c>
      <c r="F392" t="s">
        <v>34</v>
      </c>
      <c r="G392" t="s">
        <v>45</v>
      </c>
      <c r="H392" t="s">
        <v>29</v>
      </c>
      <c r="I392">
        <v>7</v>
      </c>
      <c r="J392">
        <v>4.9000000000000004</v>
      </c>
      <c r="K392">
        <v>34.299999999999997</v>
      </c>
    </row>
    <row r="393" spans="1:11" x14ac:dyDescent="0.35">
      <c r="A393" t="s">
        <v>462</v>
      </c>
      <c r="B393" t="s">
        <v>111</v>
      </c>
      <c r="C393" t="s">
        <v>21</v>
      </c>
      <c r="D393" t="s">
        <v>22</v>
      </c>
      <c r="E393" t="s">
        <v>44</v>
      </c>
      <c r="F393" t="s">
        <v>47</v>
      </c>
      <c r="G393" t="s">
        <v>48</v>
      </c>
      <c r="H393" t="s">
        <v>29</v>
      </c>
      <c r="I393">
        <v>9</v>
      </c>
      <c r="J393">
        <v>225.47</v>
      </c>
      <c r="K393">
        <v>2029.23</v>
      </c>
    </row>
    <row r="394" spans="1:11" x14ac:dyDescent="0.35">
      <c r="A394" t="s">
        <v>463</v>
      </c>
      <c r="B394" t="s">
        <v>71</v>
      </c>
      <c r="C394" t="s">
        <v>32</v>
      </c>
      <c r="D394" t="s">
        <v>33</v>
      </c>
      <c r="E394" t="s">
        <v>39</v>
      </c>
      <c r="F394" t="s">
        <v>34</v>
      </c>
      <c r="G394" t="s">
        <v>74</v>
      </c>
      <c r="H394" t="s">
        <v>29</v>
      </c>
      <c r="I394">
        <v>8</v>
      </c>
      <c r="J394">
        <v>3.41</v>
      </c>
      <c r="K394">
        <v>27.28</v>
      </c>
    </row>
    <row r="395" spans="1:11" x14ac:dyDescent="0.35">
      <c r="A395" t="s">
        <v>464</v>
      </c>
      <c r="B395" t="s">
        <v>102</v>
      </c>
      <c r="C395" t="s">
        <v>43</v>
      </c>
      <c r="D395" t="s">
        <v>33</v>
      </c>
      <c r="E395" t="s">
        <v>63</v>
      </c>
      <c r="F395" t="s">
        <v>16</v>
      </c>
      <c r="G395" t="s">
        <v>45</v>
      </c>
      <c r="H395" t="s">
        <v>18</v>
      </c>
      <c r="I395">
        <v>7</v>
      </c>
      <c r="J395">
        <v>4.58</v>
      </c>
      <c r="K395">
        <v>32.06</v>
      </c>
    </row>
    <row r="396" spans="1:11" x14ac:dyDescent="0.35">
      <c r="A396" t="s">
        <v>465</v>
      </c>
      <c r="B396" t="s">
        <v>107</v>
      </c>
      <c r="C396" t="s">
        <v>38</v>
      </c>
      <c r="D396" t="s">
        <v>14</v>
      </c>
      <c r="E396" t="s">
        <v>63</v>
      </c>
      <c r="F396" t="s">
        <v>16</v>
      </c>
      <c r="G396" t="s">
        <v>45</v>
      </c>
      <c r="H396" t="s">
        <v>29</v>
      </c>
      <c r="I396">
        <v>1</v>
      </c>
      <c r="J396">
        <v>39.340000000000003</v>
      </c>
      <c r="K396">
        <v>39.340000000000003</v>
      </c>
    </row>
    <row r="397" spans="1:11" x14ac:dyDescent="0.35">
      <c r="A397" t="s">
        <v>466</v>
      </c>
      <c r="B397" t="s">
        <v>102</v>
      </c>
      <c r="C397" t="s">
        <v>58</v>
      </c>
      <c r="D397" t="s">
        <v>22</v>
      </c>
      <c r="E397" t="s">
        <v>63</v>
      </c>
      <c r="F397" t="s">
        <v>28</v>
      </c>
      <c r="G397" t="s">
        <v>45</v>
      </c>
      <c r="H397" t="s">
        <v>18</v>
      </c>
      <c r="I397">
        <v>10</v>
      </c>
      <c r="J397">
        <v>119.93</v>
      </c>
      <c r="K397">
        <v>1199.3</v>
      </c>
    </row>
    <row r="398" spans="1:11" x14ac:dyDescent="0.35">
      <c r="A398" t="s">
        <v>467</v>
      </c>
      <c r="B398" t="s">
        <v>57</v>
      </c>
      <c r="C398" t="s">
        <v>43</v>
      </c>
      <c r="D398" t="s">
        <v>33</v>
      </c>
      <c r="E398" t="s">
        <v>39</v>
      </c>
      <c r="F398" t="s">
        <v>23</v>
      </c>
      <c r="G398" t="s">
        <v>24</v>
      </c>
      <c r="H398" t="s">
        <v>18</v>
      </c>
      <c r="I398">
        <v>7</v>
      </c>
      <c r="J398">
        <v>5.64</v>
      </c>
      <c r="K398">
        <v>39.479999999999997</v>
      </c>
    </row>
    <row r="399" spans="1:11" x14ac:dyDescent="0.35">
      <c r="A399" t="s">
        <v>468</v>
      </c>
      <c r="B399" t="s">
        <v>111</v>
      </c>
      <c r="C399" t="s">
        <v>32</v>
      </c>
      <c r="D399" t="s">
        <v>33</v>
      </c>
      <c r="E399" t="s">
        <v>44</v>
      </c>
      <c r="F399" t="s">
        <v>23</v>
      </c>
      <c r="G399" t="s">
        <v>45</v>
      </c>
      <c r="H399" t="s">
        <v>29</v>
      </c>
      <c r="I399">
        <v>8</v>
      </c>
      <c r="J399">
        <v>2.8</v>
      </c>
      <c r="K399">
        <v>22.4</v>
      </c>
    </row>
    <row r="400" spans="1:11" x14ac:dyDescent="0.35">
      <c r="A400" t="s">
        <v>469</v>
      </c>
      <c r="B400" t="s">
        <v>50</v>
      </c>
      <c r="C400" t="s">
        <v>13</v>
      </c>
      <c r="D400" t="s">
        <v>14</v>
      </c>
      <c r="E400" t="s">
        <v>15</v>
      </c>
      <c r="F400" t="s">
        <v>23</v>
      </c>
      <c r="G400" t="s">
        <v>48</v>
      </c>
      <c r="H400" t="s">
        <v>18</v>
      </c>
      <c r="I400">
        <v>9</v>
      </c>
      <c r="J400">
        <v>164.95</v>
      </c>
      <c r="K400">
        <v>1484.55</v>
      </c>
    </row>
    <row r="401" spans="1:11" x14ac:dyDescent="0.35">
      <c r="A401" t="s">
        <v>470</v>
      </c>
      <c r="B401" t="s">
        <v>20</v>
      </c>
      <c r="C401" t="s">
        <v>32</v>
      </c>
      <c r="D401" t="s">
        <v>33</v>
      </c>
      <c r="E401" t="s">
        <v>44</v>
      </c>
      <c r="F401" t="s">
        <v>28</v>
      </c>
      <c r="G401" t="s">
        <v>48</v>
      </c>
      <c r="H401" t="s">
        <v>29</v>
      </c>
      <c r="I401">
        <v>3</v>
      </c>
      <c r="J401">
        <v>3.13</v>
      </c>
      <c r="K401">
        <v>9.39</v>
      </c>
    </row>
    <row r="402" spans="1:11" x14ac:dyDescent="0.35">
      <c r="A402" t="s">
        <v>471</v>
      </c>
      <c r="B402" t="s">
        <v>77</v>
      </c>
      <c r="C402" t="s">
        <v>27</v>
      </c>
      <c r="D402" t="s">
        <v>14</v>
      </c>
      <c r="E402" t="s">
        <v>63</v>
      </c>
      <c r="F402" t="s">
        <v>34</v>
      </c>
      <c r="G402" t="s">
        <v>24</v>
      </c>
      <c r="H402" t="s">
        <v>29</v>
      </c>
      <c r="I402">
        <v>1</v>
      </c>
      <c r="J402">
        <v>20.43</v>
      </c>
      <c r="K402">
        <v>20.43</v>
      </c>
    </row>
    <row r="403" spans="1:11" x14ac:dyDescent="0.35">
      <c r="A403" t="s">
        <v>472</v>
      </c>
      <c r="B403" t="s">
        <v>71</v>
      </c>
      <c r="C403" t="s">
        <v>13</v>
      </c>
      <c r="D403" t="s">
        <v>14</v>
      </c>
      <c r="E403" t="s">
        <v>39</v>
      </c>
      <c r="F403" t="s">
        <v>40</v>
      </c>
      <c r="G403" t="s">
        <v>48</v>
      </c>
      <c r="H403" t="s">
        <v>18</v>
      </c>
      <c r="I403">
        <v>2</v>
      </c>
      <c r="J403">
        <v>179.13</v>
      </c>
      <c r="K403">
        <v>358.26</v>
      </c>
    </row>
    <row r="404" spans="1:11" x14ac:dyDescent="0.35">
      <c r="A404" t="s">
        <v>473</v>
      </c>
      <c r="B404" t="s">
        <v>111</v>
      </c>
      <c r="C404" t="s">
        <v>66</v>
      </c>
      <c r="D404" t="s">
        <v>67</v>
      </c>
      <c r="E404" t="s">
        <v>39</v>
      </c>
      <c r="F404" t="s">
        <v>23</v>
      </c>
      <c r="G404" t="s">
        <v>48</v>
      </c>
      <c r="H404" t="s">
        <v>29</v>
      </c>
      <c r="I404">
        <v>1</v>
      </c>
      <c r="J404">
        <v>38.51</v>
      </c>
      <c r="K404">
        <v>38.51</v>
      </c>
    </row>
    <row r="405" spans="1:11" x14ac:dyDescent="0.35">
      <c r="A405" t="s">
        <v>474</v>
      </c>
      <c r="B405" t="s">
        <v>42</v>
      </c>
      <c r="C405" t="s">
        <v>32</v>
      </c>
      <c r="D405" t="s">
        <v>33</v>
      </c>
      <c r="E405" t="s">
        <v>39</v>
      </c>
      <c r="F405" t="s">
        <v>23</v>
      </c>
      <c r="G405" t="s">
        <v>24</v>
      </c>
      <c r="H405" t="s">
        <v>18</v>
      </c>
      <c r="I405">
        <v>10</v>
      </c>
      <c r="J405">
        <v>3.33</v>
      </c>
      <c r="K405">
        <v>33.299999999999997</v>
      </c>
    </row>
    <row r="406" spans="1:11" x14ac:dyDescent="0.35">
      <c r="A406" t="s">
        <v>475</v>
      </c>
      <c r="B406" t="s">
        <v>90</v>
      </c>
      <c r="C406" t="s">
        <v>38</v>
      </c>
      <c r="D406" t="s">
        <v>14</v>
      </c>
      <c r="E406" t="s">
        <v>63</v>
      </c>
      <c r="F406" t="s">
        <v>47</v>
      </c>
      <c r="G406" t="s">
        <v>45</v>
      </c>
      <c r="H406" t="s">
        <v>18</v>
      </c>
      <c r="I406">
        <v>3</v>
      </c>
      <c r="J406">
        <v>39.049999999999997</v>
      </c>
      <c r="K406">
        <v>117.15</v>
      </c>
    </row>
    <row r="407" spans="1:11" x14ac:dyDescent="0.35">
      <c r="A407" t="s">
        <v>476</v>
      </c>
      <c r="B407" t="s">
        <v>20</v>
      </c>
      <c r="C407" t="s">
        <v>61</v>
      </c>
      <c r="D407" t="s">
        <v>14</v>
      </c>
      <c r="E407" t="s">
        <v>44</v>
      </c>
      <c r="F407" t="s">
        <v>28</v>
      </c>
      <c r="G407" t="s">
        <v>48</v>
      </c>
      <c r="H407" t="s">
        <v>29</v>
      </c>
      <c r="I407">
        <v>7</v>
      </c>
      <c r="J407">
        <v>195.33</v>
      </c>
      <c r="K407">
        <v>1367.31</v>
      </c>
    </row>
    <row r="408" spans="1:11" x14ac:dyDescent="0.35">
      <c r="A408" t="s">
        <v>477</v>
      </c>
      <c r="B408" t="s">
        <v>26</v>
      </c>
      <c r="C408" t="s">
        <v>27</v>
      </c>
      <c r="D408" t="s">
        <v>14</v>
      </c>
      <c r="E408" t="s">
        <v>15</v>
      </c>
      <c r="F408" t="s">
        <v>28</v>
      </c>
      <c r="G408" t="s">
        <v>17</v>
      </c>
      <c r="H408" t="s">
        <v>29</v>
      </c>
      <c r="I408">
        <v>10</v>
      </c>
      <c r="J408">
        <v>23.39</v>
      </c>
      <c r="K408">
        <v>233.9</v>
      </c>
    </row>
    <row r="409" spans="1:11" x14ac:dyDescent="0.35">
      <c r="A409" t="s">
        <v>478</v>
      </c>
      <c r="B409" t="s">
        <v>84</v>
      </c>
      <c r="C409" t="s">
        <v>58</v>
      </c>
      <c r="D409" t="s">
        <v>22</v>
      </c>
      <c r="E409" t="s">
        <v>15</v>
      </c>
      <c r="F409" t="s">
        <v>16</v>
      </c>
      <c r="G409" t="s">
        <v>74</v>
      </c>
      <c r="H409" t="s">
        <v>18</v>
      </c>
      <c r="I409">
        <v>5</v>
      </c>
      <c r="J409">
        <v>138.97</v>
      </c>
      <c r="K409">
        <v>694.85</v>
      </c>
    </row>
    <row r="410" spans="1:11" x14ac:dyDescent="0.35">
      <c r="A410" t="s">
        <v>479</v>
      </c>
      <c r="B410" t="s">
        <v>69</v>
      </c>
      <c r="C410" t="s">
        <v>32</v>
      </c>
      <c r="D410" t="s">
        <v>33</v>
      </c>
      <c r="E410" t="s">
        <v>39</v>
      </c>
      <c r="F410" t="s">
        <v>40</v>
      </c>
      <c r="G410" t="s">
        <v>74</v>
      </c>
      <c r="H410" t="s">
        <v>29</v>
      </c>
      <c r="I410">
        <v>3</v>
      </c>
      <c r="J410">
        <v>2.72</v>
      </c>
      <c r="K410">
        <v>8.16</v>
      </c>
    </row>
    <row r="411" spans="1:11" x14ac:dyDescent="0.35">
      <c r="A411" t="s">
        <v>480</v>
      </c>
      <c r="B411" t="s">
        <v>12</v>
      </c>
      <c r="C411" t="s">
        <v>38</v>
      </c>
      <c r="D411" t="s">
        <v>14</v>
      </c>
      <c r="E411" t="s">
        <v>39</v>
      </c>
      <c r="F411" t="s">
        <v>16</v>
      </c>
      <c r="G411" t="s">
        <v>74</v>
      </c>
      <c r="H411" t="s">
        <v>29</v>
      </c>
      <c r="I411">
        <v>10</v>
      </c>
      <c r="J411">
        <v>39.49</v>
      </c>
      <c r="K411">
        <v>394.9</v>
      </c>
    </row>
    <row r="412" spans="1:11" x14ac:dyDescent="0.35">
      <c r="A412" t="s">
        <v>481</v>
      </c>
      <c r="B412" t="s">
        <v>26</v>
      </c>
      <c r="C412" t="s">
        <v>58</v>
      </c>
      <c r="D412" t="s">
        <v>22</v>
      </c>
      <c r="E412" t="s">
        <v>44</v>
      </c>
      <c r="F412" t="s">
        <v>28</v>
      </c>
      <c r="G412" t="s">
        <v>24</v>
      </c>
      <c r="H412" t="s">
        <v>18</v>
      </c>
      <c r="I412">
        <v>1</v>
      </c>
      <c r="J412">
        <v>133.16999999999999</v>
      </c>
      <c r="K412">
        <v>133.16999999999999</v>
      </c>
    </row>
    <row r="413" spans="1:11" x14ac:dyDescent="0.35">
      <c r="A413" t="s">
        <v>482</v>
      </c>
      <c r="B413" t="s">
        <v>65</v>
      </c>
      <c r="C413" t="s">
        <v>66</v>
      </c>
      <c r="D413" t="s">
        <v>67</v>
      </c>
      <c r="E413" t="s">
        <v>44</v>
      </c>
      <c r="F413" t="s">
        <v>16</v>
      </c>
      <c r="G413" t="s">
        <v>17</v>
      </c>
      <c r="H413" t="s">
        <v>18</v>
      </c>
      <c r="I413">
        <v>4</v>
      </c>
      <c r="J413">
        <v>42.91</v>
      </c>
      <c r="K413">
        <v>171.64</v>
      </c>
    </row>
    <row r="414" spans="1:11" x14ac:dyDescent="0.35">
      <c r="A414" t="s">
        <v>483</v>
      </c>
      <c r="B414" t="s">
        <v>94</v>
      </c>
      <c r="C414" t="s">
        <v>66</v>
      </c>
      <c r="D414" t="s">
        <v>67</v>
      </c>
      <c r="E414" t="s">
        <v>44</v>
      </c>
      <c r="F414" t="s">
        <v>40</v>
      </c>
      <c r="G414" t="s">
        <v>48</v>
      </c>
      <c r="H414" t="s">
        <v>29</v>
      </c>
      <c r="I414">
        <v>7</v>
      </c>
      <c r="J414">
        <v>47.27</v>
      </c>
      <c r="K414">
        <v>330.89</v>
      </c>
    </row>
    <row r="415" spans="1:11" x14ac:dyDescent="0.35">
      <c r="A415" t="s">
        <v>484</v>
      </c>
      <c r="B415" t="s">
        <v>147</v>
      </c>
      <c r="C415" t="s">
        <v>27</v>
      </c>
      <c r="D415" t="s">
        <v>14</v>
      </c>
      <c r="E415" t="s">
        <v>63</v>
      </c>
      <c r="F415" t="s">
        <v>16</v>
      </c>
      <c r="G415" t="s">
        <v>35</v>
      </c>
      <c r="H415" t="s">
        <v>29</v>
      </c>
      <c r="I415">
        <v>8</v>
      </c>
      <c r="J415">
        <v>22.83</v>
      </c>
      <c r="K415">
        <v>182.64</v>
      </c>
    </row>
    <row r="416" spans="1:11" x14ac:dyDescent="0.35">
      <c r="A416" t="s">
        <v>485</v>
      </c>
      <c r="B416" t="s">
        <v>107</v>
      </c>
      <c r="C416" t="s">
        <v>13</v>
      </c>
      <c r="D416" t="s">
        <v>14</v>
      </c>
      <c r="E416" t="s">
        <v>39</v>
      </c>
      <c r="F416" t="s">
        <v>40</v>
      </c>
      <c r="G416" t="s">
        <v>35</v>
      </c>
      <c r="H416" t="s">
        <v>29</v>
      </c>
      <c r="I416">
        <v>1</v>
      </c>
      <c r="J416">
        <v>162.32</v>
      </c>
      <c r="K416">
        <v>162.32</v>
      </c>
    </row>
    <row r="417" spans="1:11" x14ac:dyDescent="0.35">
      <c r="A417" t="s">
        <v>486</v>
      </c>
      <c r="B417" t="s">
        <v>26</v>
      </c>
      <c r="C417" t="s">
        <v>27</v>
      </c>
      <c r="D417" t="s">
        <v>14</v>
      </c>
      <c r="E417" t="s">
        <v>15</v>
      </c>
      <c r="F417" t="s">
        <v>47</v>
      </c>
      <c r="G417" t="s">
        <v>35</v>
      </c>
      <c r="H417" t="s">
        <v>29</v>
      </c>
      <c r="I417">
        <v>5</v>
      </c>
      <c r="J417">
        <v>20.52</v>
      </c>
      <c r="K417">
        <v>102.6</v>
      </c>
    </row>
    <row r="418" spans="1:11" x14ac:dyDescent="0.35">
      <c r="A418" t="s">
        <v>487</v>
      </c>
      <c r="B418" t="s">
        <v>42</v>
      </c>
      <c r="C418" t="s">
        <v>61</v>
      </c>
      <c r="D418" t="s">
        <v>14</v>
      </c>
      <c r="E418" t="s">
        <v>39</v>
      </c>
      <c r="F418" t="s">
        <v>34</v>
      </c>
      <c r="G418" t="s">
        <v>35</v>
      </c>
      <c r="H418" t="s">
        <v>18</v>
      </c>
      <c r="I418">
        <v>2</v>
      </c>
      <c r="J418">
        <v>191.24</v>
      </c>
      <c r="K418">
        <v>382.48</v>
      </c>
    </row>
    <row r="419" spans="1:11" x14ac:dyDescent="0.35">
      <c r="A419" t="s">
        <v>488</v>
      </c>
      <c r="B419" t="s">
        <v>90</v>
      </c>
      <c r="C419" t="s">
        <v>13</v>
      </c>
      <c r="D419" t="s">
        <v>14</v>
      </c>
      <c r="E419" t="s">
        <v>15</v>
      </c>
      <c r="F419" t="s">
        <v>16</v>
      </c>
      <c r="G419" t="s">
        <v>45</v>
      </c>
      <c r="H419" t="s">
        <v>18</v>
      </c>
      <c r="I419">
        <v>1</v>
      </c>
      <c r="J419">
        <v>172.62</v>
      </c>
      <c r="K419">
        <v>172.62</v>
      </c>
    </row>
    <row r="420" spans="1:11" x14ac:dyDescent="0.35">
      <c r="A420" t="s">
        <v>489</v>
      </c>
      <c r="B420" t="s">
        <v>42</v>
      </c>
      <c r="C420" t="s">
        <v>27</v>
      </c>
      <c r="D420" t="s">
        <v>14</v>
      </c>
      <c r="E420" t="s">
        <v>15</v>
      </c>
      <c r="F420" t="s">
        <v>16</v>
      </c>
      <c r="G420" t="s">
        <v>48</v>
      </c>
      <c r="H420" t="s">
        <v>29</v>
      </c>
      <c r="I420">
        <v>5</v>
      </c>
      <c r="J420">
        <v>22.44</v>
      </c>
      <c r="K420">
        <v>112.2</v>
      </c>
    </row>
    <row r="421" spans="1:11" x14ac:dyDescent="0.35">
      <c r="A421" t="s">
        <v>490</v>
      </c>
      <c r="B421" t="s">
        <v>52</v>
      </c>
      <c r="C421" t="s">
        <v>43</v>
      </c>
      <c r="D421" t="s">
        <v>33</v>
      </c>
      <c r="E421" t="s">
        <v>39</v>
      </c>
      <c r="F421" t="s">
        <v>16</v>
      </c>
      <c r="G421" t="s">
        <v>74</v>
      </c>
      <c r="H421" t="s">
        <v>18</v>
      </c>
      <c r="I421">
        <v>3</v>
      </c>
      <c r="J421">
        <v>5.82</v>
      </c>
      <c r="K421">
        <v>17.46</v>
      </c>
    </row>
    <row r="422" spans="1:11" x14ac:dyDescent="0.35">
      <c r="A422" t="s">
        <v>491</v>
      </c>
      <c r="B422" t="s">
        <v>73</v>
      </c>
      <c r="C422" t="s">
        <v>13</v>
      </c>
      <c r="D422" t="s">
        <v>14</v>
      </c>
      <c r="E422" t="s">
        <v>39</v>
      </c>
      <c r="F422" t="s">
        <v>40</v>
      </c>
      <c r="G422" t="s">
        <v>74</v>
      </c>
      <c r="H422" t="s">
        <v>18</v>
      </c>
      <c r="I422">
        <v>3</v>
      </c>
      <c r="J422">
        <v>173.63</v>
      </c>
      <c r="K422">
        <v>520.89</v>
      </c>
    </row>
    <row r="423" spans="1:11" x14ac:dyDescent="0.35">
      <c r="A423" t="s">
        <v>492</v>
      </c>
      <c r="B423" t="s">
        <v>107</v>
      </c>
      <c r="C423" t="s">
        <v>21</v>
      </c>
      <c r="D423" t="s">
        <v>22</v>
      </c>
      <c r="E423" t="s">
        <v>63</v>
      </c>
      <c r="F423" t="s">
        <v>28</v>
      </c>
      <c r="G423" t="s">
        <v>17</v>
      </c>
      <c r="H423" t="s">
        <v>29</v>
      </c>
      <c r="I423">
        <v>10</v>
      </c>
      <c r="J423">
        <v>285.64999999999998</v>
      </c>
      <c r="K423">
        <v>2856.5</v>
      </c>
    </row>
    <row r="424" spans="1:11" x14ac:dyDescent="0.35">
      <c r="A424" t="s">
        <v>493</v>
      </c>
      <c r="B424" t="s">
        <v>94</v>
      </c>
      <c r="C424" t="s">
        <v>13</v>
      </c>
      <c r="D424" t="s">
        <v>14</v>
      </c>
      <c r="E424" t="s">
        <v>15</v>
      </c>
      <c r="F424" t="s">
        <v>47</v>
      </c>
      <c r="G424" t="s">
        <v>17</v>
      </c>
      <c r="H424" t="s">
        <v>18</v>
      </c>
      <c r="I424">
        <v>8</v>
      </c>
      <c r="J424">
        <v>135.28</v>
      </c>
      <c r="K424">
        <v>1082.24</v>
      </c>
    </row>
    <row r="425" spans="1:11" x14ac:dyDescent="0.35">
      <c r="A425" t="s">
        <v>494</v>
      </c>
      <c r="B425" t="s">
        <v>102</v>
      </c>
      <c r="C425" t="s">
        <v>21</v>
      </c>
      <c r="D425" t="s">
        <v>22</v>
      </c>
      <c r="E425" t="s">
        <v>44</v>
      </c>
      <c r="F425" t="s">
        <v>28</v>
      </c>
      <c r="G425" t="s">
        <v>48</v>
      </c>
      <c r="H425" t="s">
        <v>29</v>
      </c>
      <c r="I425">
        <v>6</v>
      </c>
      <c r="J425">
        <v>230.68</v>
      </c>
      <c r="K425">
        <v>1384.08</v>
      </c>
    </row>
    <row r="426" spans="1:11" x14ac:dyDescent="0.35">
      <c r="A426" t="s">
        <v>495</v>
      </c>
      <c r="B426" t="s">
        <v>37</v>
      </c>
      <c r="C426" t="s">
        <v>32</v>
      </c>
      <c r="D426" t="s">
        <v>33</v>
      </c>
      <c r="E426" t="s">
        <v>15</v>
      </c>
      <c r="F426" t="s">
        <v>23</v>
      </c>
      <c r="G426" t="s">
        <v>17</v>
      </c>
      <c r="H426" t="s">
        <v>29</v>
      </c>
      <c r="I426">
        <v>2</v>
      </c>
      <c r="J426">
        <v>3.28</v>
      </c>
      <c r="K426">
        <v>6.56</v>
      </c>
    </row>
    <row r="427" spans="1:11" x14ac:dyDescent="0.35">
      <c r="A427" t="s">
        <v>496</v>
      </c>
      <c r="B427" t="s">
        <v>57</v>
      </c>
      <c r="C427" t="s">
        <v>32</v>
      </c>
      <c r="D427" t="s">
        <v>33</v>
      </c>
      <c r="E427" t="s">
        <v>63</v>
      </c>
      <c r="F427" t="s">
        <v>16</v>
      </c>
      <c r="G427" t="s">
        <v>35</v>
      </c>
      <c r="H427" t="s">
        <v>29</v>
      </c>
      <c r="I427">
        <v>1</v>
      </c>
      <c r="J427">
        <v>2.82</v>
      </c>
      <c r="K427">
        <v>2.82</v>
      </c>
    </row>
    <row r="428" spans="1:11" x14ac:dyDescent="0.35">
      <c r="A428" t="s">
        <v>497</v>
      </c>
      <c r="B428" t="s">
        <v>97</v>
      </c>
      <c r="C428" t="s">
        <v>61</v>
      </c>
      <c r="D428" t="s">
        <v>14</v>
      </c>
      <c r="E428" t="s">
        <v>15</v>
      </c>
      <c r="F428" t="s">
        <v>28</v>
      </c>
      <c r="G428" t="s">
        <v>17</v>
      </c>
      <c r="H428" t="s">
        <v>29</v>
      </c>
      <c r="I428">
        <v>7</v>
      </c>
      <c r="J428">
        <v>182.6</v>
      </c>
      <c r="K428">
        <v>1278.2</v>
      </c>
    </row>
    <row r="429" spans="1:11" x14ac:dyDescent="0.35">
      <c r="A429" t="s">
        <v>498</v>
      </c>
      <c r="B429" t="s">
        <v>65</v>
      </c>
      <c r="C429" t="s">
        <v>61</v>
      </c>
      <c r="D429" t="s">
        <v>14</v>
      </c>
      <c r="E429" t="s">
        <v>39</v>
      </c>
      <c r="F429" t="s">
        <v>28</v>
      </c>
      <c r="G429" t="s">
        <v>74</v>
      </c>
      <c r="H429" t="s">
        <v>18</v>
      </c>
      <c r="I429">
        <v>2</v>
      </c>
      <c r="J429">
        <v>203.42</v>
      </c>
      <c r="K429">
        <v>406.84</v>
      </c>
    </row>
    <row r="430" spans="1:11" x14ac:dyDescent="0.35">
      <c r="A430" t="s">
        <v>499</v>
      </c>
      <c r="B430" t="s">
        <v>37</v>
      </c>
      <c r="C430" t="s">
        <v>61</v>
      </c>
      <c r="D430" t="s">
        <v>14</v>
      </c>
      <c r="E430" t="s">
        <v>15</v>
      </c>
      <c r="F430" t="s">
        <v>40</v>
      </c>
      <c r="G430" t="s">
        <v>45</v>
      </c>
      <c r="H430" t="s">
        <v>29</v>
      </c>
      <c r="I430">
        <v>2</v>
      </c>
      <c r="J430">
        <v>166.66</v>
      </c>
      <c r="K430">
        <v>333.32</v>
      </c>
    </row>
    <row r="431" spans="1:11" x14ac:dyDescent="0.35">
      <c r="A431" t="s">
        <v>500</v>
      </c>
      <c r="B431" t="s">
        <v>57</v>
      </c>
      <c r="C431" t="s">
        <v>66</v>
      </c>
      <c r="D431" t="s">
        <v>67</v>
      </c>
      <c r="E431" t="s">
        <v>44</v>
      </c>
      <c r="F431" t="s">
        <v>28</v>
      </c>
      <c r="G431" t="s">
        <v>35</v>
      </c>
      <c r="H431" t="s">
        <v>18</v>
      </c>
      <c r="I431">
        <v>3</v>
      </c>
      <c r="J431">
        <v>39.4</v>
      </c>
      <c r="K431">
        <v>118.2</v>
      </c>
    </row>
    <row r="432" spans="1:11" x14ac:dyDescent="0.35">
      <c r="A432" t="s">
        <v>501</v>
      </c>
      <c r="B432" t="s">
        <v>88</v>
      </c>
      <c r="C432" t="s">
        <v>21</v>
      </c>
      <c r="D432" t="s">
        <v>22</v>
      </c>
      <c r="E432" t="s">
        <v>39</v>
      </c>
      <c r="F432" t="s">
        <v>34</v>
      </c>
      <c r="G432" t="s">
        <v>48</v>
      </c>
      <c r="H432" t="s">
        <v>29</v>
      </c>
      <c r="I432">
        <v>10</v>
      </c>
      <c r="J432">
        <v>243.36</v>
      </c>
      <c r="K432">
        <v>2433.6</v>
      </c>
    </row>
    <row r="433" spans="1:11" x14ac:dyDescent="0.35">
      <c r="A433" t="s">
        <v>502</v>
      </c>
      <c r="B433" t="s">
        <v>54</v>
      </c>
      <c r="C433" t="s">
        <v>55</v>
      </c>
      <c r="D433" t="s">
        <v>14</v>
      </c>
      <c r="E433" t="s">
        <v>15</v>
      </c>
      <c r="F433" t="s">
        <v>23</v>
      </c>
      <c r="G433" t="s">
        <v>17</v>
      </c>
      <c r="H433" t="s">
        <v>29</v>
      </c>
      <c r="I433">
        <v>7</v>
      </c>
      <c r="J433">
        <v>692.66</v>
      </c>
      <c r="K433">
        <v>4848.62</v>
      </c>
    </row>
    <row r="434" spans="1:11" x14ac:dyDescent="0.35">
      <c r="A434" t="s">
        <v>503</v>
      </c>
      <c r="B434" t="s">
        <v>102</v>
      </c>
      <c r="C434" t="s">
        <v>55</v>
      </c>
      <c r="D434" t="s">
        <v>14</v>
      </c>
      <c r="E434" t="s">
        <v>63</v>
      </c>
      <c r="F434" t="s">
        <v>40</v>
      </c>
      <c r="G434" t="s">
        <v>74</v>
      </c>
      <c r="H434" t="s">
        <v>18</v>
      </c>
      <c r="I434">
        <v>8</v>
      </c>
      <c r="J434">
        <v>630.54</v>
      </c>
      <c r="K434">
        <v>5044.32</v>
      </c>
    </row>
    <row r="435" spans="1:11" x14ac:dyDescent="0.35">
      <c r="A435" t="s">
        <v>504</v>
      </c>
      <c r="B435" t="s">
        <v>71</v>
      </c>
      <c r="C435" t="s">
        <v>58</v>
      </c>
      <c r="D435" t="s">
        <v>22</v>
      </c>
      <c r="E435" t="s">
        <v>44</v>
      </c>
      <c r="F435" t="s">
        <v>16</v>
      </c>
      <c r="G435" t="s">
        <v>24</v>
      </c>
      <c r="H435" t="s">
        <v>29</v>
      </c>
      <c r="I435">
        <v>10</v>
      </c>
      <c r="J435">
        <v>134.06</v>
      </c>
      <c r="K435">
        <v>1340.6</v>
      </c>
    </row>
    <row r="436" spans="1:11" x14ac:dyDescent="0.35">
      <c r="A436" t="s">
        <v>505</v>
      </c>
      <c r="B436" t="s">
        <v>42</v>
      </c>
      <c r="C436" t="s">
        <v>61</v>
      </c>
      <c r="D436" t="s">
        <v>14</v>
      </c>
      <c r="E436" t="s">
        <v>15</v>
      </c>
      <c r="F436" t="s">
        <v>23</v>
      </c>
      <c r="G436" t="s">
        <v>24</v>
      </c>
      <c r="H436" t="s">
        <v>29</v>
      </c>
      <c r="I436">
        <v>7</v>
      </c>
      <c r="J436">
        <v>166.86</v>
      </c>
      <c r="K436">
        <v>1168.02</v>
      </c>
    </row>
    <row r="437" spans="1:11" x14ac:dyDescent="0.35">
      <c r="A437" t="s">
        <v>506</v>
      </c>
      <c r="B437" t="s">
        <v>37</v>
      </c>
      <c r="C437" t="s">
        <v>58</v>
      </c>
      <c r="D437" t="s">
        <v>22</v>
      </c>
      <c r="E437" t="s">
        <v>44</v>
      </c>
      <c r="F437" t="s">
        <v>16</v>
      </c>
      <c r="G437" t="s">
        <v>24</v>
      </c>
      <c r="H437" t="s">
        <v>29</v>
      </c>
      <c r="I437">
        <v>6</v>
      </c>
      <c r="J437">
        <v>119.85</v>
      </c>
      <c r="K437">
        <v>719.1</v>
      </c>
    </row>
    <row r="438" spans="1:11" x14ac:dyDescent="0.35">
      <c r="A438" t="s">
        <v>507</v>
      </c>
      <c r="B438" t="s">
        <v>94</v>
      </c>
      <c r="C438" t="s">
        <v>66</v>
      </c>
      <c r="D438" t="s">
        <v>67</v>
      </c>
      <c r="E438" t="s">
        <v>44</v>
      </c>
      <c r="F438" t="s">
        <v>34</v>
      </c>
      <c r="G438" t="s">
        <v>24</v>
      </c>
      <c r="H438" t="s">
        <v>18</v>
      </c>
      <c r="I438">
        <v>1</v>
      </c>
      <c r="J438">
        <v>44.04</v>
      </c>
      <c r="K438">
        <v>44.04</v>
      </c>
    </row>
    <row r="439" spans="1:11" x14ac:dyDescent="0.35">
      <c r="A439" t="s">
        <v>508</v>
      </c>
      <c r="B439" t="s">
        <v>26</v>
      </c>
      <c r="C439" t="s">
        <v>55</v>
      </c>
      <c r="D439" t="s">
        <v>14</v>
      </c>
      <c r="E439" t="s">
        <v>15</v>
      </c>
      <c r="F439" t="s">
        <v>23</v>
      </c>
      <c r="G439" t="s">
        <v>48</v>
      </c>
      <c r="H439" t="s">
        <v>29</v>
      </c>
      <c r="I439">
        <v>4</v>
      </c>
      <c r="J439">
        <v>724.99</v>
      </c>
      <c r="K439">
        <v>2899.96</v>
      </c>
    </row>
    <row r="440" spans="1:11" x14ac:dyDescent="0.35">
      <c r="A440" t="s">
        <v>509</v>
      </c>
      <c r="B440" t="s">
        <v>102</v>
      </c>
      <c r="C440" t="s">
        <v>43</v>
      </c>
      <c r="D440" t="s">
        <v>33</v>
      </c>
      <c r="E440" t="s">
        <v>63</v>
      </c>
      <c r="F440" t="s">
        <v>16</v>
      </c>
      <c r="G440" t="s">
        <v>35</v>
      </c>
      <c r="H440" t="s">
        <v>29</v>
      </c>
      <c r="I440">
        <v>2</v>
      </c>
      <c r="J440">
        <v>5.47</v>
      </c>
      <c r="K440">
        <v>10.94</v>
      </c>
    </row>
    <row r="441" spans="1:11" x14ac:dyDescent="0.35">
      <c r="A441" t="s">
        <v>510</v>
      </c>
      <c r="B441" t="s">
        <v>102</v>
      </c>
      <c r="C441" t="s">
        <v>58</v>
      </c>
      <c r="D441" t="s">
        <v>22</v>
      </c>
      <c r="E441" t="s">
        <v>39</v>
      </c>
      <c r="F441" t="s">
        <v>40</v>
      </c>
      <c r="G441" t="s">
        <v>48</v>
      </c>
      <c r="H441" t="s">
        <v>29</v>
      </c>
      <c r="I441">
        <v>10</v>
      </c>
      <c r="J441">
        <v>141.55000000000001</v>
      </c>
      <c r="K441">
        <v>1415.5</v>
      </c>
    </row>
    <row r="442" spans="1:11" x14ac:dyDescent="0.35">
      <c r="A442" t="s">
        <v>511</v>
      </c>
      <c r="B442" t="s">
        <v>50</v>
      </c>
      <c r="C442" t="s">
        <v>27</v>
      </c>
      <c r="D442" t="s">
        <v>14</v>
      </c>
      <c r="E442" t="s">
        <v>63</v>
      </c>
      <c r="F442" t="s">
        <v>23</v>
      </c>
      <c r="G442" t="s">
        <v>45</v>
      </c>
      <c r="H442" t="s">
        <v>29</v>
      </c>
      <c r="I442">
        <v>4</v>
      </c>
      <c r="J442">
        <v>23.38</v>
      </c>
      <c r="K442">
        <v>93.52</v>
      </c>
    </row>
    <row r="443" spans="1:11" x14ac:dyDescent="0.35">
      <c r="A443" t="s">
        <v>512</v>
      </c>
      <c r="B443" t="s">
        <v>42</v>
      </c>
      <c r="C443" t="s">
        <v>38</v>
      </c>
      <c r="D443" t="s">
        <v>14</v>
      </c>
      <c r="E443" t="s">
        <v>63</v>
      </c>
      <c r="F443" t="s">
        <v>40</v>
      </c>
      <c r="G443" t="s">
        <v>74</v>
      </c>
      <c r="H443" t="s">
        <v>29</v>
      </c>
      <c r="I443">
        <v>2</v>
      </c>
      <c r="J443">
        <v>33.74</v>
      </c>
      <c r="K443">
        <v>67.48</v>
      </c>
    </row>
    <row r="444" spans="1:11" x14ac:dyDescent="0.35">
      <c r="A444" t="s">
        <v>513</v>
      </c>
      <c r="B444" t="s">
        <v>60</v>
      </c>
      <c r="C444" t="s">
        <v>13</v>
      </c>
      <c r="D444" t="s">
        <v>14</v>
      </c>
      <c r="E444" t="s">
        <v>44</v>
      </c>
      <c r="F444" t="s">
        <v>34</v>
      </c>
      <c r="G444" t="s">
        <v>35</v>
      </c>
      <c r="H444" t="s">
        <v>18</v>
      </c>
      <c r="I444">
        <v>3</v>
      </c>
      <c r="J444">
        <v>164.56</v>
      </c>
      <c r="K444">
        <v>493.68</v>
      </c>
    </row>
    <row r="445" spans="1:11" x14ac:dyDescent="0.35">
      <c r="A445" t="s">
        <v>514</v>
      </c>
      <c r="B445" t="s">
        <v>65</v>
      </c>
      <c r="C445" t="s">
        <v>38</v>
      </c>
      <c r="D445" t="s">
        <v>14</v>
      </c>
      <c r="E445" t="s">
        <v>63</v>
      </c>
      <c r="F445" t="s">
        <v>23</v>
      </c>
      <c r="G445" t="s">
        <v>24</v>
      </c>
      <c r="H445" t="s">
        <v>18</v>
      </c>
      <c r="I445">
        <v>5</v>
      </c>
      <c r="J445">
        <v>38.380000000000003</v>
      </c>
      <c r="K445">
        <v>191.9</v>
      </c>
    </row>
    <row r="446" spans="1:11" x14ac:dyDescent="0.35">
      <c r="A446" t="s">
        <v>515</v>
      </c>
      <c r="B446" t="s">
        <v>31</v>
      </c>
      <c r="C446" t="s">
        <v>21</v>
      </c>
      <c r="D446" t="s">
        <v>22</v>
      </c>
      <c r="E446" t="s">
        <v>15</v>
      </c>
      <c r="F446" t="s">
        <v>34</v>
      </c>
      <c r="G446" t="s">
        <v>35</v>
      </c>
      <c r="H446" t="s">
        <v>29</v>
      </c>
      <c r="I446">
        <v>3</v>
      </c>
      <c r="J446">
        <v>225.52</v>
      </c>
      <c r="K446">
        <v>676.56</v>
      </c>
    </row>
    <row r="447" spans="1:11" x14ac:dyDescent="0.35">
      <c r="A447" t="s">
        <v>516</v>
      </c>
      <c r="B447" t="s">
        <v>128</v>
      </c>
      <c r="C447" t="s">
        <v>43</v>
      </c>
      <c r="D447" t="s">
        <v>33</v>
      </c>
      <c r="E447" t="s">
        <v>39</v>
      </c>
      <c r="F447" t="s">
        <v>28</v>
      </c>
      <c r="G447" t="s">
        <v>74</v>
      </c>
      <c r="H447" t="s">
        <v>18</v>
      </c>
      <c r="I447">
        <v>8</v>
      </c>
      <c r="J447">
        <v>5.94</v>
      </c>
      <c r="K447">
        <v>47.52</v>
      </c>
    </row>
    <row r="448" spans="1:11" x14ac:dyDescent="0.35">
      <c r="A448" t="s">
        <v>517</v>
      </c>
      <c r="B448" t="s">
        <v>94</v>
      </c>
      <c r="C448" t="s">
        <v>38</v>
      </c>
      <c r="D448" t="s">
        <v>14</v>
      </c>
      <c r="E448" t="s">
        <v>39</v>
      </c>
      <c r="F448" t="s">
        <v>40</v>
      </c>
      <c r="G448" t="s">
        <v>24</v>
      </c>
      <c r="H448" t="s">
        <v>29</v>
      </c>
      <c r="I448">
        <v>5</v>
      </c>
      <c r="J448">
        <v>34.49</v>
      </c>
      <c r="K448">
        <v>172.45</v>
      </c>
    </row>
    <row r="449" spans="1:11" x14ac:dyDescent="0.35">
      <c r="A449" t="s">
        <v>518</v>
      </c>
      <c r="B449" t="s">
        <v>94</v>
      </c>
      <c r="C449" t="s">
        <v>66</v>
      </c>
      <c r="D449" t="s">
        <v>67</v>
      </c>
      <c r="E449" t="s">
        <v>15</v>
      </c>
      <c r="F449" t="s">
        <v>16</v>
      </c>
      <c r="G449" t="s">
        <v>48</v>
      </c>
      <c r="H449" t="s">
        <v>29</v>
      </c>
      <c r="I449">
        <v>5</v>
      </c>
      <c r="J449">
        <v>47.23</v>
      </c>
      <c r="K449">
        <v>236.15</v>
      </c>
    </row>
    <row r="450" spans="1:11" x14ac:dyDescent="0.35">
      <c r="A450" t="s">
        <v>519</v>
      </c>
      <c r="B450" t="s">
        <v>128</v>
      </c>
      <c r="C450" t="s">
        <v>32</v>
      </c>
      <c r="D450" t="s">
        <v>33</v>
      </c>
      <c r="E450" t="s">
        <v>44</v>
      </c>
      <c r="F450" t="s">
        <v>23</v>
      </c>
      <c r="G450" t="s">
        <v>17</v>
      </c>
      <c r="H450" t="s">
        <v>29</v>
      </c>
      <c r="I450">
        <v>4</v>
      </c>
      <c r="J450">
        <v>3</v>
      </c>
      <c r="K450">
        <v>12</v>
      </c>
    </row>
    <row r="451" spans="1:11" x14ac:dyDescent="0.35">
      <c r="A451" t="s">
        <v>520</v>
      </c>
      <c r="B451" t="s">
        <v>12</v>
      </c>
      <c r="C451" t="s">
        <v>21</v>
      </c>
      <c r="D451" t="s">
        <v>22</v>
      </c>
      <c r="E451" t="s">
        <v>63</v>
      </c>
      <c r="F451" t="s">
        <v>23</v>
      </c>
      <c r="G451" t="s">
        <v>35</v>
      </c>
      <c r="H451" t="s">
        <v>29</v>
      </c>
      <c r="I451">
        <v>2</v>
      </c>
      <c r="J451">
        <v>255.01</v>
      </c>
      <c r="K451">
        <v>510.02</v>
      </c>
    </row>
    <row r="452" spans="1:11" x14ac:dyDescent="0.35">
      <c r="A452" t="s">
        <v>521</v>
      </c>
      <c r="B452" t="s">
        <v>94</v>
      </c>
      <c r="C452" t="s">
        <v>32</v>
      </c>
      <c r="D452" t="s">
        <v>33</v>
      </c>
      <c r="E452" t="s">
        <v>39</v>
      </c>
      <c r="F452" t="s">
        <v>28</v>
      </c>
      <c r="G452" t="s">
        <v>48</v>
      </c>
      <c r="H452" t="s">
        <v>18</v>
      </c>
      <c r="I452">
        <v>2</v>
      </c>
      <c r="J452">
        <v>3.21</v>
      </c>
      <c r="K452">
        <v>6.42</v>
      </c>
    </row>
    <row r="453" spans="1:11" x14ac:dyDescent="0.35">
      <c r="A453" t="s">
        <v>522</v>
      </c>
      <c r="B453" t="s">
        <v>69</v>
      </c>
      <c r="C453" t="s">
        <v>43</v>
      </c>
      <c r="D453" t="s">
        <v>33</v>
      </c>
      <c r="E453" t="s">
        <v>63</v>
      </c>
      <c r="F453" t="s">
        <v>34</v>
      </c>
      <c r="G453" t="s">
        <v>45</v>
      </c>
      <c r="H453" t="s">
        <v>18</v>
      </c>
      <c r="I453">
        <v>3</v>
      </c>
      <c r="J453">
        <v>5.6</v>
      </c>
      <c r="K453">
        <v>16.8</v>
      </c>
    </row>
    <row r="454" spans="1:11" x14ac:dyDescent="0.35">
      <c r="A454" t="s">
        <v>523</v>
      </c>
      <c r="B454" t="s">
        <v>71</v>
      </c>
      <c r="C454" t="s">
        <v>32</v>
      </c>
      <c r="D454" t="s">
        <v>33</v>
      </c>
      <c r="E454" t="s">
        <v>39</v>
      </c>
      <c r="F454" t="s">
        <v>47</v>
      </c>
      <c r="G454" t="s">
        <v>24</v>
      </c>
      <c r="H454" t="s">
        <v>18</v>
      </c>
      <c r="I454">
        <v>7</v>
      </c>
      <c r="J454">
        <v>3.59</v>
      </c>
      <c r="K454">
        <v>25.13</v>
      </c>
    </row>
    <row r="455" spans="1:11" x14ac:dyDescent="0.35">
      <c r="A455" t="s">
        <v>524</v>
      </c>
      <c r="B455" t="s">
        <v>52</v>
      </c>
      <c r="C455" t="s">
        <v>55</v>
      </c>
      <c r="D455" t="s">
        <v>14</v>
      </c>
      <c r="E455" t="s">
        <v>44</v>
      </c>
      <c r="F455" t="s">
        <v>23</v>
      </c>
      <c r="G455" t="s">
        <v>48</v>
      </c>
      <c r="H455" t="s">
        <v>29</v>
      </c>
      <c r="I455">
        <v>5</v>
      </c>
      <c r="J455">
        <v>825.55</v>
      </c>
      <c r="K455">
        <v>4127.75</v>
      </c>
    </row>
    <row r="456" spans="1:11" x14ac:dyDescent="0.35">
      <c r="A456" t="s">
        <v>525</v>
      </c>
      <c r="B456" t="s">
        <v>90</v>
      </c>
      <c r="C456" t="s">
        <v>38</v>
      </c>
      <c r="D456" t="s">
        <v>14</v>
      </c>
      <c r="E456" t="s">
        <v>39</v>
      </c>
      <c r="F456" t="s">
        <v>40</v>
      </c>
      <c r="G456" t="s">
        <v>45</v>
      </c>
      <c r="H456" t="s">
        <v>18</v>
      </c>
      <c r="I456">
        <v>1</v>
      </c>
      <c r="J456">
        <v>37.840000000000003</v>
      </c>
      <c r="K456">
        <v>37.840000000000003</v>
      </c>
    </row>
    <row r="457" spans="1:11" x14ac:dyDescent="0.35">
      <c r="A457" t="s">
        <v>526</v>
      </c>
      <c r="B457" t="s">
        <v>52</v>
      </c>
      <c r="C457" t="s">
        <v>38</v>
      </c>
      <c r="D457" t="s">
        <v>14</v>
      </c>
      <c r="E457" t="s">
        <v>44</v>
      </c>
      <c r="F457" t="s">
        <v>28</v>
      </c>
      <c r="G457" t="s">
        <v>48</v>
      </c>
      <c r="H457" t="s">
        <v>29</v>
      </c>
      <c r="I457">
        <v>8</v>
      </c>
      <c r="J457">
        <v>34.33</v>
      </c>
      <c r="K457">
        <v>274.64</v>
      </c>
    </row>
    <row r="458" spans="1:11" x14ac:dyDescent="0.35">
      <c r="A458" t="s">
        <v>527</v>
      </c>
      <c r="B458" t="s">
        <v>57</v>
      </c>
      <c r="C458" t="s">
        <v>13</v>
      </c>
      <c r="D458" t="s">
        <v>14</v>
      </c>
      <c r="E458" t="s">
        <v>15</v>
      </c>
      <c r="F458" t="s">
        <v>28</v>
      </c>
      <c r="G458" t="s">
        <v>48</v>
      </c>
      <c r="H458" t="s">
        <v>18</v>
      </c>
      <c r="I458">
        <v>3</v>
      </c>
      <c r="J458">
        <v>172.94</v>
      </c>
      <c r="K458">
        <v>518.82000000000005</v>
      </c>
    </row>
    <row r="459" spans="1:11" x14ac:dyDescent="0.35">
      <c r="A459" t="s">
        <v>528</v>
      </c>
      <c r="B459" t="s">
        <v>88</v>
      </c>
      <c r="C459" t="s">
        <v>43</v>
      </c>
      <c r="D459" t="s">
        <v>33</v>
      </c>
      <c r="E459" t="s">
        <v>44</v>
      </c>
      <c r="F459" t="s">
        <v>23</v>
      </c>
      <c r="G459" t="s">
        <v>48</v>
      </c>
      <c r="H459" t="s">
        <v>29</v>
      </c>
      <c r="I459">
        <v>8</v>
      </c>
      <c r="J459">
        <v>5.35</v>
      </c>
      <c r="K459">
        <v>42.8</v>
      </c>
    </row>
    <row r="460" spans="1:11" x14ac:dyDescent="0.35">
      <c r="A460" t="s">
        <v>529</v>
      </c>
      <c r="B460" t="s">
        <v>94</v>
      </c>
      <c r="C460" t="s">
        <v>13</v>
      </c>
      <c r="D460" t="s">
        <v>14</v>
      </c>
      <c r="E460" t="s">
        <v>63</v>
      </c>
      <c r="F460" t="s">
        <v>16</v>
      </c>
      <c r="G460" t="s">
        <v>45</v>
      </c>
      <c r="H460" t="s">
        <v>18</v>
      </c>
      <c r="I460">
        <v>3</v>
      </c>
      <c r="J460">
        <v>149.13999999999999</v>
      </c>
      <c r="K460">
        <v>447.42</v>
      </c>
    </row>
    <row r="461" spans="1:11" x14ac:dyDescent="0.35">
      <c r="A461" t="s">
        <v>530</v>
      </c>
      <c r="B461" t="s">
        <v>102</v>
      </c>
      <c r="C461" t="s">
        <v>27</v>
      </c>
      <c r="D461" t="s">
        <v>14</v>
      </c>
      <c r="E461" t="s">
        <v>39</v>
      </c>
      <c r="F461" t="s">
        <v>28</v>
      </c>
      <c r="G461" t="s">
        <v>45</v>
      </c>
      <c r="H461" t="s">
        <v>18</v>
      </c>
      <c r="I461">
        <v>5</v>
      </c>
      <c r="J461">
        <v>23.5</v>
      </c>
      <c r="K461">
        <v>117.5</v>
      </c>
    </row>
    <row r="462" spans="1:11" x14ac:dyDescent="0.35">
      <c r="A462" t="s">
        <v>531</v>
      </c>
      <c r="B462" t="s">
        <v>84</v>
      </c>
      <c r="C462" t="s">
        <v>61</v>
      </c>
      <c r="D462" t="s">
        <v>14</v>
      </c>
      <c r="E462" t="s">
        <v>44</v>
      </c>
      <c r="F462" t="s">
        <v>16</v>
      </c>
      <c r="G462" t="s">
        <v>48</v>
      </c>
      <c r="H462" t="s">
        <v>18</v>
      </c>
      <c r="I462">
        <v>3</v>
      </c>
      <c r="J462">
        <v>193.85</v>
      </c>
      <c r="K462">
        <v>581.54999999999995</v>
      </c>
    </row>
    <row r="463" spans="1:11" x14ac:dyDescent="0.35">
      <c r="A463" t="s">
        <v>532</v>
      </c>
      <c r="B463" t="s">
        <v>69</v>
      </c>
      <c r="C463" t="s">
        <v>13</v>
      </c>
      <c r="D463" t="s">
        <v>14</v>
      </c>
      <c r="E463" t="s">
        <v>15</v>
      </c>
      <c r="F463" t="s">
        <v>16</v>
      </c>
      <c r="G463" t="s">
        <v>45</v>
      </c>
      <c r="H463" t="s">
        <v>29</v>
      </c>
      <c r="I463">
        <v>1</v>
      </c>
      <c r="J463">
        <v>154.41999999999999</v>
      </c>
      <c r="K463">
        <v>154.41999999999999</v>
      </c>
    </row>
    <row r="464" spans="1:11" x14ac:dyDescent="0.35">
      <c r="A464" t="s">
        <v>533</v>
      </c>
      <c r="B464" t="s">
        <v>20</v>
      </c>
      <c r="C464" t="s">
        <v>32</v>
      </c>
      <c r="D464" t="s">
        <v>33</v>
      </c>
      <c r="E464" t="s">
        <v>63</v>
      </c>
      <c r="F464" t="s">
        <v>28</v>
      </c>
      <c r="G464" t="s">
        <v>74</v>
      </c>
      <c r="H464" t="s">
        <v>18</v>
      </c>
      <c r="I464">
        <v>4</v>
      </c>
      <c r="J464">
        <v>3.43</v>
      </c>
      <c r="K464">
        <v>13.72</v>
      </c>
    </row>
    <row r="465" spans="1:11" x14ac:dyDescent="0.35">
      <c r="A465" t="s">
        <v>534</v>
      </c>
      <c r="B465" t="s">
        <v>111</v>
      </c>
      <c r="C465" t="s">
        <v>61</v>
      </c>
      <c r="D465" t="s">
        <v>14</v>
      </c>
      <c r="E465" t="s">
        <v>63</v>
      </c>
      <c r="F465" t="s">
        <v>23</v>
      </c>
      <c r="G465" t="s">
        <v>45</v>
      </c>
      <c r="H465" t="s">
        <v>29</v>
      </c>
      <c r="I465">
        <v>2</v>
      </c>
      <c r="J465">
        <v>183.33</v>
      </c>
      <c r="K465">
        <v>366.66</v>
      </c>
    </row>
    <row r="466" spans="1:11" x14ac:dyDescent="0.35">
      <c r="A466" t="s">
        <v>535</v>
      </c>
      <c r="B466" t="s">
        <v>12</v>
      </c>
      <c r="C466" t="s">
        <v>66</v>
      </c>
      <c r="D466" t="s">
        <v>67</v>
      </c>
      <c r="E466" t="s">
        <v>39</v>
      </c>
      <c r="F466" t="s">
        <v>40</v>
      </c>
      <c r="G466" t="s">
        <v>74</v>
      </c>
      <c r="H466" t="s">
        <v>29</v>
      </c>
      <c r="I466">
        <v>9</v>
      </c>
      <c r="J466">
        <v>36.26</v>
      </c>
      <c r="K466">
        <v>326.33999999999997</v>
      </c>
    </row>
    <row r="467" spans="1:11" x14ac:dyDescent="0.35">
      <c r="A467" t="s">
        <v>536</v>
      </c>
      <c r="B467" t="s">
        <v>65</v>
      </c>
      <c r="C467" t="s">
        <v>38</v>
      </c>
      <c r="D467" t="s">
        <v>14</v>
      </c>
      <c r="E467" t="s">
        <v>39</v>
      </c>
      <c r="F467" t="s">
        <v>47</v>
      </c>
      <c r="G467" t="s">
        <v>48</v>
      </c>
      <c r="H467" t="s">
        <v>18</v>
      </c>
      <c r="I467">
        <v>7</v>
      </c>
      <c r="J467">
        <v>35.86</v>
      </c>
      <c r="K467">
        <v>251.02</v>
      </c>
    </row>
    <row r="468" spans="1:11" x14ac:dyDescent="0.35">
      <c r="A468" t="s">
        <v>537</v>
      </c>
      <c r="B468" t="s">
        <v>94</v>
      </c>
      <c r="C468" t="s">
        <v>38</v>
      </c>
      <c r="D468" t="s">
        <v>14</v>
      </c>
      <c r="E468" t="s">
        <v>44</v>
      </c>
      <c r="F468" t="s">
        <v>16</v>
      </c>
      <c r="G468" t="s">
        <v>45</v>
      </c>
      <c r="H468" t="s">
        <v>29</v>
      </c>
      <c r="I468">
        <v>1</v>
      </c>
      <c r="J468">
        <v>35.159999999999997</v>
      </c>
      <c r="K468">
        <v>35.159999999999997</v>
      </c>
    </row>
    <row r="469" spans="1:11" x14ac:dyDescent="0.35">
      <c r="A469" t="s">
        <v>538</v>
      </c>
      <c r="B469" t="s">
        <v>94</v>
      </c>
      <c r="C469" t="s">
        <v>66</v>
      </c>
      <c r="D469" t="s">
        <v>67</v>
      </c>
      <c r="E469" t="s">
        <v>15</v>
      </c>
      <c r="F469" t="s">
        <v>34</v>
      </c>
      <c r="G469" t="s">
        <v>35</v>
      </c>
      <c r="H469" t="s">
        <v>18</v>
      </c>
      <c r="I469">
        <v>9</v>
      </c>
      <c r="J469">
        <v>36.28</v>
      </c>
      <c r="K469">
        <v>326.52</v>
      </c>
    </row>
    <row r="470" spans="1:11" x14ac:dyDescent="0.35">
      <c r="A470" t="s">
        <v>539</v>
      </c>
      <c r="B470" t="s">
        <v>12</v>
      </c>
      <c r="C470" t="s">
        <v>66</v>
      </c>
      <c r="D470" t="s">
        <v>67</v>
      </c>
      <c r="E470" t="s">
        <v>15</v>
      </c>
      <c r="F470" t="s">
        <v>28</v>
      </c>
      <c r="G470" t="s">
        <v>74</v>
      </c>
      <c r="H470" t="s">
        <v>29</v>
      </c>
      <c r="I470">
        <v>1</v>
      </c>
      <c r="J470">
        <v>41.23</v>
      </c>
      <c r="K470">
        <v>41.23</v>
      </c>
    </row>
    <row r="471" spans="1:11" x14ac:dyDescent="0.35">
      <c r="A471" t="s">
        <v>540</v>
      </c>
      <c r="B471" t="s">
        <v>90</v>
      </c>
      <c r="C471" t="s">
        <v>55</v>
      </c>
      <c r="D471" t="s">
        <v>14</v>
      </c>
      <c r="E471" t="s">
        <v>63</v>
      </c>
      <c r="F471" t="s">
        <v>23</v>
      </c>
      <c r="G471" t="s">
        <v>74</v>
      </c>
      <c r="H471" t="s">
        <v>18</v>
      </c>
      <c r="I471">
        <v>3</v>
      </c>
      <c r="J471">
        <v>825.18</v>
      </c>
      <c r="K471">
        <v>2475.54</v>
      </c>
    </row>
    <row r="472" spans="1:11" x14ac:dyDescent="0.35">
      <c r="A472" t="s">
        <v>541</v>
      </c>
      <c r="B472" t="s">
        <v>102</v>
      </c>
      <c r="C472" t="s">
        <v>38</v>
      </c>
      <c r="D472" t="s">
        <v>14</v>
      </c>
      <c r="E472" t="s">
        <v>44</v>
      </c>
      <c r="F472" t="s">
        <v>47</v>
      </c>
      <c r="G472" t="s">
        <v>35</v>
      </c>
      <c r="H472" t="s">
        <v>18</v>
      </c>
      <c r="I472">
        <v>5</v>
      </c>
      <c r="J472">
        <v>38.159999999999997</v>
      </c>
      <c r="K472">
        <v>190.8</v>
      </c>
    </row>
    <row r="473" spans="1:11" x14ac:dyDescent="0.35">
      <c r="A473" t="s">
        <v>542</v>
      </c>
      <c r="B473" t="s">
        <v>77</v>
      </c>
      <c r="C473" t="s">
        <v>32</v>
      </c>
      <c r="D473" t="s">
        <v>33</v>
      </c>
      <c r="E473" t="s">
        <v>15</v>
      </c>
      <c r="F473" t="s">
        <v>47</v>
      </c>
      <c r="G473" t="s">
        <v>48</v>
      </c>
      <c r="H473" t="s">
        <v>29</v>
      </c>
      <c r="I473">
        <v>8</v>
      </c>
      <c r="J473">
        <v>3.18</v>
      </c>
      <c r="K473">
        <v>25.44</v>
      </c>
    </row>
    <row r="474" spans="1:11" x14ac:dyDescent="0.35">
      <c r="A474" t="s">
        <v>543</v>
      </c>
      <c r="B474" t="s">
        <v>37</v>
      </c>
      <c r="C474" t="s">
        <v>38</v>
      </c>
      <c r="D474" t="s">
        <v>14</v>
      </c>
      <c r="E474" t="s">
        <v>39</v>
      </c>
      <c r="F474" t="s">
        <v>23</v>
      </c>
      <c r="G474" t="s">
        <v>45</v>
      </c>
      <c r="H474" t="s">
        <v>29</v>
      </c>
      <c r="I474">
        <v>5</v>
      </c>
      <c r="J474">
        <v>32.14</v>
      </c>
      <c r="K474">
        <v>160.69999999999999</v>
      </c>
    </row>
    <row r="475" spans="1:11" x14ac:dyDescent="0.35">
      <c r="A475" t="s">
        <v>544</v>
      </c>
      <c r="B475" t="s">
        <v>65</v>
      </c>
      <c r="C475" t="s">
        <v>55</v>
      </c>
      <c r="D475" t="s">
        <v>14</v>
      </c>
      <c r="E475" t="s">
        <v>39</v>
      </c>
      <c r="F475" t="s">
        <v>47</v>
      </c>
      <c r="G475" t="s">
        <v>45</v>
      </c>
      <c r="H475" t="s">
        <v>29</v>
      </c>
      <c r="I475">
        <v>5</v>
      </c>
      <c r="J475">
        <v>664.42</v>
      </c>
      <c r="K475">
        <v>3322.1</v>
      </c>
    </row>
    <row r="476" spans="1:11" x14ac:dyDescent="0.35">
      <c r="A476" t="s">
        <v>545</v>
      </c>
      <c r="B476" t="s">
        <v>94</v>
      </c>
      <c r="C476" t="s">
        <v>21</v>
      </c>
      <c r="D476" t="s">
        <v>22</v>
      </c>
      <c r="E476" t="s">
        <v>15</v>
      </c>
      <c r="F476" t="s">
        <v>16</v>
      </c>
      <c r="G476" t="s">
        <v>35</v>
      </c>
      <c r="H476" t="s">
        <v>29</v>
      </c>
      <c r="I476">
        <v>8</v>
      </c>
      <c r="J476">
        <v>234.41</v>
      </c>
      <c r="K476">
        <v>1875.28</v>
      </c>
    </row>
    <row r="477" spans="1:11" x14ac:dyDescent="0.35">
      <c r="A477" t="s">
        <v>546</v>
      </c>
      <c r="B477" t="s">
        <v>12</v>
      </c>
      <c r="C477" t="s">
        <v>58</v>
      </c>
      <c r="D477" t="s">
        <v>22</v>
      </c>
      <c r="E477" t="s">
        <v>39</v>
      </c>
      <c r="F477" t="s">
        <v>34</v>
      </c>
      <c r="G477" t="s">
        <v>17</v>
      </c>
      <c r="H477" t="s">
        <v>18</v>
      </c>
      <c r="I477">
        <v>6</v>
      </c>
      <c r="J477">
        <v>132.88</v>
      </c>
      <c r="K477">
        <v>797.28</v>
      </c>
    </row>
    <row r="478" spans="1:11" x14ac:dyDescent="0.35">
      <c r="A478" t="s">
        <v>547</v>
      </c>
      <c r="B478" t="s">
        <v>88</v>
      </c>
      <c r="C478" t="s">
        <v>21</v>
      </c>
      <c r="D478" t="s">
        <v>22</v>
      </c>
      <c r="E478" t="s">
        <v>39</v>
      </c>
      <c r="F478" t="s">
        <v>23</v>
      </c>
      <c r="G478" t="s">
        <v>45</v>
      </c>
      <c r="H478" t="s">
        <v>29</v>
      </c>
      <c r="I478">
        <v>4</v>
      </c>
      <c r="J478">
        <v>245.34</v>
      </c>
      <c r="K478">
        <v>981.36</v>
      </c>
    </row>
    <row r="479" spans="1:11" x14ac:dyDescent="0.35">
      <c r="A479" t="s">
        <v>548</v>
      </c>
      <c r="B479" t="s">
        <v>118</v>
      </c>
      <c r="C479" t="s">
        <v>55</v>
      </c>
      <c r="D479" t="s">
        <v>14</v>
      </c>
      <c r="E479" t="s">
        <v>39</v>
      </c>
      <c r="F479" t="s">
        <v>16</v>
      </c>
      <c r="G479" t="s">
        <v>48</v>
      </c>
      <c r="H479" t="s">
        <v>29</v>
      </c>
      <c r="I479">
        <v>5</v>
      </c>
      <c r="J479">
        <v>724.37</v>
      </c>
      <c r="K479">
        <v>3621.85</v>
      </c>
    </row>
    <row r="480" spans="1:11" x14ac:dyDescent="0.35">
      <c r="A480" t="s">
        <v>549</v>
      </c>
      <c r="B480" t="s">
        <v>20</v>
      </c>
      <c r="C480" t="s">
        <v>66</v>
      </c>
      <c r="D480" t="s">
        <v>67</v>
      </c>
      <c r="E480" t="s">
        <v>39</v>
      </c>
      <c r="F480" t="s">
        <v>40</v>
      </c>
      <c r="G480" t="s">
        <v>48</v>
      </c>
      <c r="H480" t="s">
        <v>29</v>
      </c>
      <c r="I480">
        <v>1</v>
      </c>
      <c r="J480">
        <v>36.21</v>
      </c>
      <c r="K480">
        <v>36.21</v>
      </c>
    </row>
    <row r="481" spans="1:11" x14ac:dyDescent="0.35">
      <c r="A481" t="s">
        <v>550</v>
      </c>
      <c r="B481" t="s">
        <v>90</v>
      </c>
      <c r="C481" t="s">
        <v>43</v>
      </c>
      <c r="D481" t="s">
        <v>33</v>
      </c>
      <c r="E481" t="s">
        <v>15</v>
      </c>
      <c r="F481" t="s">
        <v>47</v>
      </c>
      <c r="G481" t="s">
        <v>74</v>
      </c>
      <c r="H481" t="s">
        <v>29</v>
      </c>
      <c r="I481">
        <v>3</v>
      </c>
      <c r="J481">
        <v>4.71</v>
      </c>
      <c r="K481">
        <v>14.13</v>
      </c>
    </row>
    <row r="482" spans="1:11" x14ac:dyDescent="0.35">
      <c r="A482" t="s">
        <v>551</v>
      </c>
      <c r="B482" t="s">
        <v>57</v>
      </c>
      <c r="C482" t="s">
        <v>61</v>
      </c>
      <c r="D482" t="s">
        <v>14</v>
      </c>
      <c r="E482" t="s">
        <v>63</v>
      </c>
      <c r="F482" t="s">
        <v>34</v>
      </c>
      <c r="G482" t="s">
        <v>35</v>
      </c>
      <c r="H482" t="s">
        <v>29</v>
      </c>
      <c r="I482">
        <v>9</v>
      </c>
      <c r="J482">
        <v>209.79</v>
      </c>
      <c r="K482">
        <v>1888.11</v>
      </c>
    </row>
    <row r="483" spans="1:11" x14ac:dyDescent="0.35">
      <c r="A483" t="s">
        <v>552</v>
      </c>
      <c r="B483" t="s">
        <v>77</v>
      </c>
      <c r="C483" t="s">
        <v>27</v>
      </c>
      <c r="D483" t="s">
        <v>14</v>
      </c>
      <c r="E483" t="s">
        <v>44</v>
      </c>
      <c r="F483" t="s">
        <v>47</v>
      </c>
      <c r="G483" t="s">
        <v>45</v>
      </c>
      <c r="H483" t="s">
        <v>29</v>
      </c>
      <c r="I483">
        <v>1</v>
      </c>
      <c r="J483">
        <v>21.78</v>
      </c>
      <c r="K483">
        <v>21.78</v>
      </c>
    </row>
    <row r="484" spans="1:11" x14ac:dyDescent="0.35">
      <c r="A484" t="s">
        <v>553</v>
      </c>
      <c r="B484" t="s">
        <v>73</v>
      </c>
      <c r="C484" t="s">
        <v>38</v>
      </c>
      <c r="D484" t="s">
        <v>14</v>
      </c>
      <c r="E484" t="s">
        <v>15</v>
      </c>
      <c r="F484" t="s">
        <v>34</v>
      </c>
      <c r="G484" t="s">
        <v>35</v>
      </c>
      <c r="H484" t="s">
        <v>18</v>
      </c>
      <c r="I484">
        <v>5</v>
      </c>
      <c r="J484">
        <v>41.78</v>
      </c>
      <c r="K484">
        <v>208.9</v>
      </c>
    </row>
    <row r="485" spans="1:11" x14ac:dyDescent="0.35">
      <c r="A485" t="s">
        <v>554</v>
      </c>
      <c r="B485" t="s">
        <v>65</v>
      </c>
      <c r="C485" t="s">
        <v>61</v>
      </c>
      <c r="D485" t="s">
        <v>14</v>
      </c>
      <c r="E485" t="s">
        <v>39</v>
      </c>
      <c r="F485" t="s">
        <v>16</v>
      </c>
      <c r="G485" t="s">
        <v>24</v>
      </c>
      <c r="H485" t="s">
        <v>18</v>
      </c>
      <c r="I485">
        <v>4</v>
      </c>
      <c r="J485">
        <v>212.74</v>
      </c>
      <c r="K485">
        <v>850.96</v>
      </c>
    </row>
    <row r="486" spans="1:11" x14ac:dyDescent="0.35">
      <c r="A486" t="s">
        <v>555</v>
      </c>
      <c r="B486" t="s">
        <v>102</v>
      </c>
      <c r="C486" t="s">
        <v>58</v>
      </c>
      <c r="D486" t="s">
        <v>22</v>
      </c>
      <c r="E486" t="s">
        <v>63</v>
      </c>
      <c r="F486" t="s">
        <v>47</v>
      </c>
      <c r="G486" t="s">
        <v>45</v>
      </c>
      <c r="H486" t="s">
        <v>18</v>
      </c>
      <c r="I486">
        <v>9</v>
      </c>
      <c r="J486">
        <v>109.71</v>
      </c>
      <c r="K486">
        <v>987.39</v>
      </c>
    </row>
    <row r="487" spans="1:11" x14ac:dyDescent="0.35">
      <c r="A487" t="s">
        <v>556</v>
      </c>
      <c r="B487" t="s">
        <v>31</v>
      </c>
      <c r="C487" t="s">
        <v>55</v>
      </c>
      <c r="D487" t="s">
        <v>14</v>
      </c>
      <c r="E487" t="s">
        <v>44</v>
      </c>
      <c r="F487" t="s">
        <v>34</v>
      </c>
      <c r="G487" t="s">
        <v>48</v>
      </c>
      <c r="H487" t="s">
        <v>18</v>
      </c>
      <c r="I487">
        <v>8</v>
      </c>
      <c r="J487">
        <v>681.21</v>
      </c>
      <c r="K487">
        <v>5449.68</v>
      </c>
    </row>
    <row r="488" spans="1:11" x14ac:dyDescent="0.35">
      <c r="A488" t="s">
        <v>557</v>
      </c>
      <c r="B488" t="s">
        <v>12</v>
      </c>
      <c r="C488" t="s">
        <v>13</v>
      </c>
      <c r="D488" t="s">
        <v>14</v>
      </c>
      <c r="E488" t="s">
        <v>15</v>
      </c>
      <c r="F488" t="s">
        <v>47</v>
      </c>
      <c r="G488" t="s">
        <v>48</v>
      </c>
      <c r="H488" t="s">
        <v>18</v>
      </c>
      <c r="I488">
        <v>2</v>
      </c>
      <c r="J488">
        <v>139.13</v>
      </c>
      <c r="K488">
        <v>278.26</v>
      </c>
    </row>
    <row r="489" spans="1:11" x14ac:dyDescent="0.35">
      <c r="A489" t="s">
        <v>558</v>
      </c>
      <c r="B489" t="s">
        <v>60</v>
      </c>
      <c r="C489" t="s">
        <v>55</v>
      </c>
      <c r="D489" t="s">
        <v>14</v>
      </c>
      <c r="E489" t="s">
        <v>15</v>
      </c>
      <c r="F489" t="s">
        <v>23</v>
      </c>
      <c r="G489" t="s">
        <v>48</v>
      </c>
      <c r="H489" t="s">
        <v>18</v>
      </c>
      <c r="I489">
        <v>5</v>
      </c>
      <c r="J489">
        <v>787.84</v>
      </c>
      <c r="K489">
        <v>3939.2</v>
      </c>
    </row>
    <row r="490" spans="1:11" x14ac:dyDescent="0.35">
      <c r="A490" t="s">
        <v>559</v>
      </c>
      <c r="B490" t="s">
        <v>124</v>
      </c>
      <c r="C490" t="s">
        <v>38</v>
      </c>
      <c r="D490" t="s">
        <v>14</v>
      </c>
      <c r="E490" t="s">
        <v>44</v>
      </c>
      <c r="F490" t="s">
        <v>34</v>
      </c>
      <c r="G490" t="s">
        <v>35</v>
      </c>
      <c r="H490" t="s">
        <v>29</v>
      </c>
      <c r="I490">
        <v>9</v>
      </c>
      <c r="J490">
        <v>34.380000000000003</v>
      </c>
      <c r="K490">
        <v>309.42</v>
      </c>
    </row>
    <row r="491" spans="1:11" x14ac:dyDescent="0.35">
      <c r="A491" t="s">
        <v>560</v>
      </c>
      <c r="B491" t="s">
        <v>31</v>
      </c>
      <c r="C491" t="s">
        <v>66</v>
      </c>
      <c r="D491" t="s">
        <v>67</v>
      </c>
      <c r="E491" t="s">
        <v>44</v>
      </c>
      <c r="F491" t="s">
        <v>47</v>
      </c>
      <c r="G491" t="s">
        <v>74</v>
      </c>
      <c r="H491" t="s">
        <v>18</v>
      </c>
      <c r="I491">
        <v>7</v>
      </c>
      <c r="J491">
        <v>45.03</v>
      </c>
      <c r="K491">
        <v>315.20999999999998</v>
      </c>
    </row>
    <row r="492" spans="1:11" x14ac:dyDescent="0.35">
      <c r="A492" t="s">
        <v>561</v>
      </c>
      <c r="B492" t="s">
        <v>128</v>
      </c>
      <c r="C492" t="s">
        <v>58</v>
      </c>
      <c r="D492" t="s">
        <v>22</v>
      </c>
      <c r="E492" t="s">
        <v>39</v>
      </c>
      <c r="F492" t="s">
        <v>47</v>
      </c>
      <c r="G492" t="s">
        <v>17</v>
      </c>
      <c r="H492" t="s">
        <v>18</v>
      </c>
      <c r="I492">
        <v>4</v>
      </c>
      <c r="J492">
        <v>115.29</v>
      </c>
      <c r="K492">
        <v>461.16</v>
      </c>
    </row>
    <row r="493" spans="1:11" x14ac:dyDescent="0.35">
      <c r="A493" t="s">
        <v>562</v>
      </c>
      <c r="B493" t="s">
        <v>107</v>
      </c>
      <c r="C493" t="s">
        <v>58</v>
      </c>
      <c r="D493" t="s">
        <v>22</v>
      </c>
      <c r="E493" t="s">
        <v>63</v>
      </c>
      <c r="F493" t="s">
        <v>23</v>
      </c>
      <c r="G493" t="s">
        <v>48</v>
      </c>
      <c r="H493" t="s">
        <v>29</v>
      </c>
      <c r="I493">
        <v>9</v>
      </c>
      <c r="J493">
        <v>140.5</v>
      </c>
      <c r="K493">
        <v>1264.5</v>
      </c>
    </row>
    <row r="494" spans="1:11" x14ac:dyDescent="0.35">
      <c r="A494" t="s">
        <v>563</v>
      </c>
      <c r="B494" t="s">
        <v>26</v>
      </c>
      <c r="C494" t="s">
        <v>43</v>
      </c>
      <c r="D494" t="s">
        <v>33</v>
      </c>
      <c r="E494" t="s">
        <v>15</v>
      </c>
      <c r="F494" t="s">
        <v>16</v>
      </c>
      <c r="G494" t="s">
        <v>24</v>
      </c>
      <c r="H494" t="s">
        <v>29</v>
      </c>
      <c r="I494">
        <v>6</v>
      </c>
      <c r="J494">
        <v>4.55</v>
      </c>
      <c r="K494">
        <v>27.3</v>
      </c>
    </row>
    <row r="495" spans="1:11" x14ac:dyDescent="0.35">
      <c r="A495" t="s">
        <v>564</v>
      </c>
      <c r="B495" t="s">
        <v>94</v>
      </c>
      <c r="C495" t="s">
        <v>32</v>
      </c>
      <c r="D495" t="s">
        <v>33</v>
      </c>
      <c r="E495" t="s">
        <v>15</v>
      </c>
      <c r="F495" t="s">
        <v>40</v>
      </c>
      <c r="G495" t="s">
        <v>24</v>
      </c>
      <c r="H495" t="s">
        <v>18</v>
      </c>
      <c r="I495">
        <v>2</v>
      </c>
      <c r="J495">
        <v>3.06</v>
      </c>
      <c r="K495">
        <v>6.12</v>
      </c>
    </row>
    <row r="496" spans="1:11" x14ac:dyDescent="0.35">
      <c r="A496" t="s">
        <v>565</v>
      </c>
      <c r="B496" t="s">
        <v>60</v>
      </c>
      <c r="C496" t="s">
        <v>38</v>
      </c>
      <c r="D496" t="s">
        <v>14</v>
      </c>
      <c r="E496" t="s">
        <v>63</v>
      </c>
      <c r="F496" t="s">
        <v>34</v>
      </c>
      <c r="G496" t="s">
        <v>45</v>
      </c>
      <c r="H496" t="s">
        <v>29</v>
      </c>
      <c r="I496">
        <v>10</v>
      </c>
      <c r="J496">
        <v>35.130000000000003</v>
      </c>
      <c r="K496">
        <v>351.3</v>
      </c>
    </row>
    <row r="497" spans="1:11" x14ac:dyDescent="0.35">
      <c r="A497" t="s">
        <v>566</v>
      </c>
      <c r="B497" t="s">
        <v>84</v>
      </c>
      <c r="C497" t="s">
        <v>55</v>
      </c>
      <c r="D497" t="s">
        <v>14</v>
      </c>
      <c r="E497" t="s">
        <v>44</v>
      </c>
      <c r="F497" t="s">
        <v>47</v>
      </c>
      <c r="G497" t="s">
        <v>17</v>
      </c>
      <c r="H497" t="s">
        <v>29</v>
      </c>
      <c r="I497">
        <v>8</v>
      </c>
      <c r="J497">
        <v>823.18</v>
      </c>
      <c r="K497">
        <v>6585.44</v>
      </c>
    </row>
    <row r="498" spans="1:11" x14ac:dyDescent="0.35">
      <c r="A498" t="s">
        <v>567</v>
      </c>
      <c r="B498" t="s">
        <v>84</v>
      </c>
      <c r="C498" t="s">
        <v>38</v>
      </c>
      <c r="D498" t="s">
        <v>14</v>
      </c>
      <c r="E498" t="s">
        <v>44</v>
      </c>
      <c r="F498" t="s">
        <v>47</v>
      </c>
      <c r="G498" t="s">
        <v>74</v>
      </c>
      <c r="H498" t="s">
        <v>29</v>
      </c>
      <c r="I498">
        <v>9</v>
      </c>
      <c r="J498">
        <v>35.340000000000003</v>
      </c>
      <c r="K498">
        <v>318.06</v>
      </c>
    </row>
    <row r="499" spans="1:11" x14ac:dyDescent="0.35">
      <c r="A499" t="s">
        <v>568</v>
      </c>
      <c r="B499" t="s">
        <v>69</v>
      </c>
      <c r="C499" t="s">
        <v>38</v>
      </c>
      <c r="D499" t="s">
        <v>14</v>
      </c>
      <c r="E499" t="s">
        <v>44</v>
      </c>
      <c r="F499" t="s">
        <v>16</v>
      </c>
      <c r="G499" t="s">
        <v>24</v>
      </c>
      <c r="H499" t="s">
        <v>29</v>
      </c>
      <c r="I499">
        <v>2</v>
      </c>
      <c r="J499">
        <v>34.58</v>
      </c>
      <c r="K499">
        <v>69.16</v>
      </c>
    </row>
    <row r="500" spans="1:11" x14ac:dyDescent="0.35">
      <c r="A500" t="s">
        <v>569</v>
      </c>
      <c r="B500" t="s">
        <v>37</v>
      </c>
      <c r="C500" t="s">
        <v>66</v>
      </c>
      <c r="D500" t="s">
        <v>67</v>
      </c>
      <c r="E500" t="s">
        <v>15</v>
      </c>
      <c r="F500" t="s">
        <v>47</v>
      </c>
      <c r="G500" t="s">
        <v>17</v>
      </c>
      <c r="H500" t="s">
        <v>18</v>
      </c>
      <c r="I500">
        <v>5</v>
      </c>
      <c r="J500">
        <v>42.23</v>
      </c>
      <c r="K500">
        <v>211.15</v>
      </c>
    </row>
    <row r="501" spans="1:11" x14ac:dyDescent="0.35">
      <c r="A501" t="s">
        <v>570</v>
      </c>
      <c r="B501" t="s">
        <v>90</v>
      </c>
      <c r="C501" t="s">
        <v>66</v>
      </c>
      <c r="D501" t="s">
        <v>67</v>
      </c>
      <c r="E501" t="s">
        <v>15</v>
      </c>
      <c r="F501" t="s">
        <v>28</v>
      </c>
      <c r="G501" t="s">
        <v>48</v>
      </c>
      <c r="H501" t="s">
        <v>29</v>
      </c>
      <c r="I501">
        <v>5</v>
      </c>
      <c r="J501">
        <v>46.73</v>
      </c>
      <c r="K501">
        <v>233.65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A1:M258"/>
  <sheetViews>
    <sheetView workbookViewId="0">
      <selection activeCell="H15" sqref="H15"/>
    </sheetView>
  </sheetViews>
  <sheetFormatPr defaultRowHeight="14.5" x14ac:dyDescent="0.35"/>
  <cols>
    <col min="1" max="1" width="9.54296875" customWidth="1"/>
    <col min="3" max="3" width="9.453125" customWidth="1"/>
    <col min="4" max="4" width="10.26953125" customWidth="1"/>
    <col min="7" max="7" width="12.81640625" customWidth="1"/>
    <col min="8" max="8" width="15" customWidth="1"/>
    <col min="9" max="9" width="10.1796875" customWidth="1"/>
    <col min="10" max="10" width="10.453125" customWidth="1"/>
    <col min="11" max="11" width="10" customWidth="1"/>
    <col min="12" max="12" width="17.90625" customWidth="1"/>
    <col min="13" max="13" width="18.08984375" customWidth="1"/>
  </cols>
  <sheetData>
    <row r="1" spans="1:13" x14ac:dyDescent="0.35">
      <c r="A1" t="s">
        <v>0</v>
      </c>
      <c r="B1" t="s">
        <v>1</v>
      </c>
      <c r="C1" t="s">
        <v>2</v>
      </c>
      <c r="D1" t="s">
        <v>3</v>
      </c>
      <c r="E1" t="s">
        <v>4</v>
      </c>
      <c r="F1" t="s">
        <v>5</v>
      </c>
      <c r="G1" t="s">
        <v>6</v>
      </c>
      <c r="H1" t="s">
        <v>7</v>
      </c>
      <c r="I1" t="s">
        <v>8</v>
      </c>
      <c r="J1" t="s">
        <v>9</v>
      </c>
      <c r="K1" t="s">
        <v>10</v>
      </c>
      <c r="L1" t="s">
        <v>571</v>
      </c>
      <c r="M1" t="s">
        <v>572</v>
      </c>
    </row>
    <row r="2" spans="1:13" x14ac:dyDescent="0.35">
      <c r="A2" t="s">
        <v>570</v>
      </c>
      <c r="B2" t="s">
        <v>90</v>
      </c>
      <c r="C2" t="s">
        <v>66</v>
      </c>
      <c r="D2" t="s">
        <v>67</v>
      </c>
      <c r="E2" t="s">
        <v>15</v>
      </c>
      <c r="F2" t="s">
        <v>28</v>
      </c>
      <c r="G2" t="s">
        <v>48</v>
      </c>
      <c r="H2" t="s">
        <v>29</v>
      </c>
      <c r="I2">
        <v>5</v>
      </c>
      <c r="J2">
        <v>46.73</v>
      </c>
      <c r="K2">
        <v>233.65</v>
      </c>
      <c r="L2" t="s">
        <v>585</v>
      </c>
      <c r="M2" t="s">
        <v>586</v>
      </c>
    </row>
    <row r="3" spans="1:13" x14ac:dyDescent="0.35">
      <c r="A3" t="s">
        <v>568</v>
      </c>
      <c r="B3" t="s">
        <v>69</v>
      </c>
      <c r="C3" t="s">
        <v>38</v>
      </c>
      <c r="D3" t="s">
        <v>14</v>
      </c>
      <c r="E3" t="s">
        <v>44</v>
      </c>
      <c r="F3" t="s">
        <v>16</v>
      </c>
      <c r="G3" t="s">
        <v>24</v>
      </c>
      <c r="H3" t="s">
        <v>29</v>
      </c>
      <c r="I3">
        <v>2</v>
      </c>
      <c r="J3">
        <v>34.58</v>
      </c>
      <c r="K3">
        <v>69.16</v>
      </c>
      <c r="L3" t="s">
        <v>585</v>
      </c>
      <c r="M3" t="s">
        <v>587</v>
      </c>
    </row>
    <row r="4" spans="1:13" x14ac:dyDescent="0.35">
      <c r="A4" t="s">
        <v>25</v>
      </c>
      <c r="B4" t="s">
        <v>26</v>
      </c>
      <c r="C4" t="s">
        <v>27</v>
      </c>
      <c r="D4" t="s">
        <v>14</v>
      </c>
      <c r="E4" t="s">
        <v>15</v>
      </c>
      <c r="F4" t="s">
        <v>28</v>
      </c>
      <c r="G4" t="s">
        <v>17</v>
      </c>
      <c r="H4" t="s">
        <v>29</v>
      </c>
      <c r="I4">
        <v>6</v>
      </c>
      <c r="J4">
        <v>22.74</v>
      </c>
      <c r="K4">
        <v>136.44</v>
      </c>
      <c r="L4" t="s">
        <v>585</v>
      </c>
      <c r="M4" t="s">
        <v>586</v>
      </c>
    </row>
    <row r="5" spans="1:13" x14ac:dyDescent="0.35">
      <c r="A5" t="s">
        <v>30</v>
      </c>
      <c r="B5" t="s">
        <v>31</v>
      </c>
      <c r="C5" t="s">
        <v>32</v>
      </c>
      <c r="D5" t="s">
        <v>33</v>
      </c>
      <c r="E5" t="s">
        <v>15</v>
      </c>
      <c r="F5" t="s">
        <v>34</v>
      </c>
      <c r="G5" t="s">
        <v>35</v>
      </c>
      <c r="H5" t="s">
        <v>29</v>
      </c>
      <c r="I5">
        <v>3</v>
      </c>
      <c r="J5">
        <v>3.27</v>
      </c>
      <c r="K5">
        <v>9.81</v>
      </c>
      <c r="L5" t="s">
        <v>585</v>
      </c>
      <c r="M5" t="s">
        <v>587</v>
      </c>
    </row>
    <row r="6" spans="1:13" x14ac:dyDescent="0.35">
      <c r="A6" t="s">
        <v>567</v>
      </c>
      <c r="B6" t="s">
        <v>84</v>
      </c>
      <c r="C6" t="s">
        <v>38</v>
      </c>
      <c r="D6" t="s">
        <v>14</v>
      </c>
      <c r="E6" t="s">
        <v>44</v>
      </c>
      <c r="F6" t="s">
        <v>47</v>
      </c>
      <c r="G6" t="s">
        <v>74</v>
      </c>
      <c r="H6" t="s">
        <v>29</v>
      </c>
      <c r="I6">
        <v>9</v>
      </c>
      <c r="J6">
        <v>35.340000000000003</v>
      </c>
      <c r="K6">
        <v>318.06</v>
      </c>
      <c r="L6" t="s">
        <v>585</v>
      </c>
      <c r="M6" t="s">
        <v>586</v>
      </c>
    </row>
    <row r="7" spans="1:13" x14ac:dyDescent="0.35">
      <c r="A7" t="s">
        <v>566</v>
      </c>
      <c r="B7" t="s">
        <v>84</v>
      </c>
      <c r="C7" t="s">
        <v>55</v>
      </c>
      <c r="D7" t="s">
        <v>14</v>
      </c>
      <c r="E7" t="s">
        <v>44</v>
      </c>
      <c r="F7" t="s">
        <v>47</v>
      </c>
      <c r="G7" t="s">
        <v>17</v>
      </c>
      <c r="H7" t="s">
        <v>29</v>
      </c>
      <c r="I7">
        <v>8</v>
      </c>
      <c r="J7">
        <v>823.18</v>
      </c>
      <c r="K7">
        <v>6585.44</v>
      </c>
      <c r="L7" t="s">
        <v>588</v>
      </c>
      <c r="M7" t="s">
        <v>586</v>
      </c>
    </row>
    <row r="8" spans="1:13" x14ac:dyDescent="0.35">
      <c r="A8" t="s">
        <v>565</v>
      </c>
      <c r="B8" t="s">
        <v>60</v>
      </c>
      <c r="C8" t="s">
        <v>38</v>
      </c>
      <c r="D8" t="s">
        <v>14</v>
      </c>
      <c r="E8" t="s">
        <v>63</v>
      </c>
      <c r="F8" t="s">
        <v>34</v>
      </c>
      <c r="G8" t="s">
        <v>45</v>
      </c>
      <c r="H8" t="s">
        <v>29</v>
      </c>
      <c r="I8">
        <v>10</v>
      </c>
      <c r="J8">
        <v>35.130000000000003</v>
      </c>
      <c r="K8">
        <v>351.3</v>
      </c>
      <c r="L8" t="s">
        <v>585</v>
      </c>
      <c r="M8" t="s">
        <v>586</v>
      </c>
    </row>
    <row r="9" spans="1:13" x14ac:dyDescent="0.35">
      <c r="A9" t="s">
        <v>49</v>
      </c>
      <c r="B9" t="s">
        <v>50</v>
      </c>
      <c r="C9" t="s">
        <v>13</v>
      </c>
      <c r="D9" t="s">
        <v>14</v>
      </c>
      <c r="E9" t="s">
        <v>44</v>
      </c>
      <c r="F9" t="s">
        <v>40</v>
      </c>
      <c r="G9" t="s">
        <v>35</v>
      </c>
      <c r="H9" t="s">
        <v>29</v>
      </c>
      <c r="I9">
        <v>3</v>
      </c>
      <c r="J9">
        <v>165.41</v>
      </c>
      <c r="K9">
        <v>496.23</v>
      </c>
      <c r="L9" t="s">
        <v>585</v>
      </c>
      <c r="M9" t="s">
        <v>587</v>
      </c>
    </row>
    <row r="10" spans="1:13" x14ac:dyDescent="0.35">
      <c r="A10" t="s">
        <v>563</v>
      </c>
      <c r="B10" t="s">
        <v>26</v>
      </c>
      <c r="C10" t="s">
        <v>43</v>
      </c>
      <c r="D10" t="s">
        <v>33</v>
      </c>
      <c r="E10" t="s">
        <v>15</v>
      </c>
      <c r="F10" t="s">
        <v>16</v>
      </c>
      <c r="G10" t="s">
        <v>24</v>
      </c>
      <c r="H10" t="s">
        <v>29</v>
      </c>
      <c r="I10">
        <v>6</v>
      </c>
      <c r="J10">
        <v>4.55</v>
      </c>
      <c r="K10">
        <v>27.3</v>
      </c>
      <c r="L10" t="s">
        <v>585</v>
      </c>
      <c r="M10" t="s">
        <v>586</v>
      </c>
    </row>
    <row r="11" spans="1:13" x14ac:dyDescent="0.35">
      <c r="A11" t="s">
        <v>53</v>
      </c>
      <c r="B11" t="s">
        <v>54</v>
      </c>
      <c r="C11" t="s">
        <v>55</v>
      </c>
      <c r="D11" t="s">
        <v>14</v>
      </c>
      <c r="E11" t="s">
        <v>39</v>
      </c>
      <c r="F11" t="s">
        <v>47</v>
      </c>
      <c r="G11" t="s">
        <v>35</v>
      </c>
      <c r="H11" t="s">
        <v>29</v>
      </c>
      <c r="I11">
        <v>6</v>
      </c>
      <c r="J11">
        <v>730.62</v>
      </c>
      <c r="K11">
        <v>4383.72</v>
      </c>
      <c r="L11" t="s">
        <v>588</v>
      </c>
      <c r="M11" t="s">
        <v>586</v>
      </c>
    </row>
    <row r="12" spans="1:13" x14ac:dyDescent="0.35">
      <c r="A12" t="s">
        <v>562</v>
      </c>
      <c r="B12" t="s">
        <v>107</v>
      </c>
      <c r="C12" t="s">
        <v>58</v>
      </c>
      <c r="D12" t="s">
        <v>22</v>
      </c>
      <c r="E12" t="s">
        <v>63</v>
      </c>
      <c r="F12" t="s">
        <v>23</v>
      </c>
      <c r="G12" t="s">
        <v>48</v>
      </c>
      <c r="H12" t="s">
        <v>29</v>
      </c>
      <c r="I12">
        <v>9</v>
      </c>
      <c r="J12">
        <v>140.5</v>
      </c>
      <c r="K12">
        <v>1264.5</v>
      </c>
      <c r="L12" t="s">
        <v>588</v>
      </c>
      <c r="M12" t="s">
        <v>586</v>
      </c>
    </row>
    <row r="13" spans="1:13" x14ac:dyDescent="0.35">
      <c r="A13" t="s">
        <v>59</v>
      </c>
      <c r="B13" t="s">
        <v>60</v>
      </c>
      <c r="C13" t="s">
        <v>61</v>
      </c>
      <c r="D13" t="s">
        <v>14</v>
      </c>
      <c r="E13" t="s">
        <v>15</v>
      </c>
      <c r="F13" t="s">
        <v>23</v>
      </c>
      <c r="G13" t="s">
        <v>48</v>
      </c>
      <c r="H13" t="s">
        <v>29</v>
      </c>
      <c r="I13">
        <v>8</v>
      </c>
      <c r="J13">
        <v>196.14</v>
      </c>
      <c r="K13">
        <v>1569.12</v>
      </c>
      <c r="L13" t="s">
        <v>588</v>
      </c>
      <c r="M13" t="s">
        <v>586</v>
      </c>
    </row>
    <row r="14" spans="1:13" x14ac:dyDescent="0.35">
      <c r="A14" t="s">
        <v>62</v>
      </c>
      <c r="B14" t="s">
        <v>50</v>
      </c>
      <c r="C14" t="s">
        <v>13</v>
      </c>
      <c r="D14" t="s">
        <v>14</v>
      </c>
      <c r="E14" t="s">
        <v>63</v>
      </c>
      <c r="F14" t="s">
        <v>34</v>
      </c>
      <c r="G14" t="s">
        <v>45</v>
      </c>
      <c r="H14" t="s">
        <v>29</v>
      </c>
      <c r="I14">
        <v>4</v>
      </c>
      <c r="J14">
        <v>140.99</v>
      </c>
      <c r="K14">
        <v>563.96</v>
      </c>
      <c r="L14" t="s">
        <v>585</v>
      </c>
      <c r="M14" t="s">
        <v>587</v>
      </c>
    </row>
    <row r="15" spans="1:13" x14ac:dyDescent="0.35">
      <c r="A15" t="s">
        <v>64</v>
      </c>
      <c r="B15" t="s">
        <v>65</v>
      </c>
      <c r="C15" t="s">
        <v>66</v>
      </c>
      <c r="D15" t="s">
        <v>67</v>
      </c>
      <c r="E15" t="s">
        <v>63</v>
      </c>
      <c r="F15" t="s">
        <v>47</v>
      </c>
      <c r="G15" t="s">
        <v>17</v>
      </c>
      <c r="H15" t="s">
        <v>29</v>
      </c>
      <c r="I15">
        <v>9</v>
      </c>
      <c r="J15">
        <v>45.17</v>
      </c>
      <c r="K15">
        <v>406.53</v>
      </c>
      <c r="L15" t="s">
        <v>585</v>
      </c>
      <c r="M15" t="s">
        <v>586</v>
      </c>
    </row>
    <row r="16" spans="1:13" x14ac:dyDescent="0.35">
      <c r="A16" t="s">
        <v>559</v>
      </c>
      <c r="B16" t="s">
        <v>124</v>
      </c>
      <c r="C16" t="s">
        <v>38</v>
      </c>
      <c r="D16" t="s">
        <v>14</v>
      </c>
      <c r="E16" t="s">
        <v>44</v>
      </c>
      <c r="F16" t="s">
        <v>34</v>
      </c>
      <c r="G16" t="s">
        <v>35</v>
      </c>
      <c r="H16" t="s">
        <v>29</v>
      </c>
      <c r="I16">
        <v>9</v>
      </c>
      <c r="J16">
        <v>34.380000000000003</v>
      </c>
      <c r="K16">
        <v>309.42</v>
      </c>
      <c r="L16" t="s">
        <v>585</v>
      </c>
      <c r="M16" t="s">
        <v>586</v>
      </c>
    </row>
    <row r="17" spans="1:13" x14ac:dyDescent="0.35">
      <c r="A17" t="s">
        <v>70</v>
      </c>
      <c r="B17" t="s">
        <v>71</v>
      </c>
      <c r="C17" t="s">
        <v>38</v>
      </c>
      <c r="D17" t="s">
        <v>14</v>
      </c>
      <c r="E17" t="s">
        <v>39</v>
      </c>
      <c r="F17" t="s">
        <v>40</v>
      </c>
      <c r="G17" t="s">
        <v>17</v>
      </c>
      <c r="H17" t="s">
        <v>29</v>
      </c>
      <c r="I17">
        <v>8</v>
      </c>
      <c r="J17">
        <v>32.29</v>
      </c>
      <c r="K17">
        <v>258.32</v>
      </c>
      <c r="L17" t="s">
        <v>585</v>
      </c>
      <c r="M17" t="s">
        <v>586</v>
      </c>
    </row>
    <row r="18" spans="1:13" x14ac:dyDescent="0.35">
      <c r="A18" t="s">
        <v>72</v>
      </c>
      <c r="B18" t="s">
        <v>73</v>
      </c>
      <c r="C18" t="s">
        <v>21</v>
      </c>
      <c r="D18" t="s">
        <v>22</v>
      </c>
      <c r="E18" t="s">
        <v>63</v>
      </c>
      <c r="F18" t="s">
        <v>40</v>
      </c>
      <c r="G18" t="s">
        <v>74</v>
      </c>
      <c r="H18" t="s">
        <v>29</v>
      </c>
      <c r="I18">
        <v>5</v>
      </c>
      <c r="J18">
        <v>254.15</v>
      </c>
      <c r="K18">
        <v>1270.75</v>
      </c>
      <c r="L18" t="s">
        <v>588</v>
      </c>
      <c r="M18" t="s">
        <v>586</v>
      </c>
    </row>
    <row r="19" spans="1:13" x14ac:dyDescent="0.35">
      <c r="A19" t="s">
        <v>75</v>
      </c>
      <c r="B19" t="s">
        <v>57</v>
      </c>
      <c r="C19" t="s">
        <v>27</v>
      </c>
      <c r="D19" t="s">
        <v>14</v>
      </c>
      <c r="E19" t="s">
        <v>44</v>
      </c>
      <c r="F19" t="s">
        <v>34</v>
      </c>
      <c r="G19" t="s">
        <v>48</v>
      </c>
      <c r="H19" t="s">
        <v>29</v>
      </c>
      <c r="I19">
        <v>1</v>
      </c>
      <c r="J19">
        <v>21.48</v>
      </c>
      <c r="K19">
        <v>21.48</v>
      </c>
      <c r="L19" t="s">
        <v>585</v>
      </c>
      <c r="M19" t="s">
        <v>587</v>
      </c>
    </row>
    <row r="20" spans="1:13" x14ac:dyDescent="0.35">
      <c r="A20" t="s">
        <v>552</v>
      </c>
      <c r="B20" t="s">
        <v>77</v>
      </c>
      <c r="C20" t="s">
        <v>27</v>
      </c>
      <c r="D20" t="s">
        <v>14</v>
      </c>
      <c r="E20" t="s">
        <v>44</v>
      </c>
      <c r="F20" t="s">
        <v>47</v>
      </c>
      <c r="G20" t="s">
        <v>45</v>
      </c>
      <c r="H20" t="s">
        <v>29</v>
      </c>
      <c r="I20">
        <v>1</v>
      </c>
      <c r="J20">
        <v>21.78</v>
      </c>
      <c r="K20">
        <v>21.78</v>
      </c>
      <c r="L20" t="s">
        <v>585</v>
      </c>
      <c r="M20" t="s">
        <v>587</v>
      </c>
    </row>
    <row r="21" spans="1:13" x14ac:dyDescent="0.35">
      <c r="A21" t="s">
        <v>78</v>
      </c>
      <c r="B21" t="s">
        <v>42</v>
      </c>
      <c r="C21" t="s">
        <v>32</v>
      </c>
      <c r="D21" t="s">
        <v>33</v>
      </c>
      <c r="E21" t="s">
        <v>15</v>
      </c>
      <c r="F21" t="s">
        <v>47</v>
      </c>
      <c r="G21" t="s">
        <v>17</v>
      </c>
      <c r="H21" t="s">
        <v>29</v>
      </c>
      <c r="I21">
        <v>1</v>
      </c>
      <c r="J21">
        <v>3.52</v>
      </c>
      <c r="K21">
        <v>3.52</v>
      </c>
      <c r="L21" t="s">
        <v>585</v>
      </c>
      <c r="M21" t="s">
        <v>587</v>
      </c>
    </row>
    <row r="22" spans="1:13" x14ac:dyDescent="0.35">
      <c r="A22" t="s">
        <v>551</v>
      </c>
      <c r="B22" t="s">
        <v>57</v>
      </c>
      <c r="C22" t="s">
        <v>61</v>
      </c>
      <c r="D22" t="s">
        <v>14</v>
      </c>
      <c r="E22" t="s">
        <v>63</v>
      </c>
      <c r="F22" t="s">
        <v>34</v>
      </c>
      <c r="G22" t="s">
        <v>35</v>
      </c>
      <c r="H22" t="s">
        <v>29</v>
      </c>
      <c r="I22">
        <v>9</v>
      </c>
      <c r="J22">
        <v>209.79</v>
      </c>
      <c r="K22">
        <v>1888.11</v>
      </c>
      <c r="L22" t="s">
        <v>588</v>
      </c>
      <c r="M22" t="s">
        <v>586</v>
      </c>
    </row>
    <row r="23" spans="1:13" x14ac:dyDescent="0.35">
      <c r="A23" t="s">
        <v>80</v>
      </c>
      <c r="B23" t="s">
        <v>69</v>
      </c>
      <c r="C23" t="s">
        <v>21</v>
      </c>
      <c r="D23" t="s">
        <v>22</v>
      </c>
      <c r="E23" t="s">
        <v>15</v>
      </c>
      <c r="F23" t="s">
        <v>23</v>
      </c>
      <c r="G23" t="s">
        <v>17</v>
      </c>
      <c r="H23" t="s">
        <v>29</v>
      </c>
      <c r="I23">
        <v>6</v>
      </c>
      <c r="J23">
        <v>256.16000000000003</v>
      </c>
      <c r="K23">
        <v>1536.96</v>
      </c>
      <c r="L23" t="s">
        <v>588</v>
      </c>
      <c r="M23" t="s">
        <v>586</v>
      </c>
    </row>
    <row r="24" spans="1:13" x14ac:dyDescent="0.35">
      <c r="A24" t="s">
        <v>81</v>
      </c>
      <c r="B24" t="s">
        <v>26</v>
      </c>
      <c r="C24" t="s">
        <v>38</v>
      </c>
      <c r="D24" t="s">
        <v>14</v>
      </c>
      <c r="E24" t="s">
        <v>15</v>
      </c>
      <c r="F24" t="s">
        <v>34</v>
      </c>
      <c r="G24" t="s">
        <v>48</v>
      </c>
      <c r="H24" t="s">
        <v>29</v>
      </c>
      <c r="I24">
        <v>5</v>
      </c>
      <c r="J24">
        <v>39.76</v>
      </c>
      <c r="K24">
        <v>198.8</v>
      </c>
      <c r="L24" t="s">
        <v>585</v>
      </c>
      <c r="M24" t="s">
        <v>586</v>
      </c>
    </row>
    <row r="25" spans="1:13" x14ac:dyDescent="0.35">
      <c r="A25" t="s">
        <v>550</v>
      </c>
      <c r="B25" t="s">
        <v>90</v>
      </c>
      <c r="C25" t="s">
        <v>43</v>
      </c>
      <c r="D25" t="s">
        <v>33</v>
      </c>
      <c r="E25" t="s">
        <v>15</v>
      </c>
      <c r="F25" t="s">
        <v>47</v>
      </c>
      <c r="G25" t="s">
        <v>74</v>
      </c>
      <c r="H25" t="s">
        <v>29</v>
      </c>
      <c r="I25">
        <v>3</v>
      </c>
      <c r="J25">
        <v>4.71</v>
      </c>
      <c r="K25">
        <v>14.13</v>
      </c>
      <c r="L25" t="s">
        <v>585</v>
      </c>
      <c r="M25" t="s">
        <v>587</v>
      </c>
    </row>
    <row r="26" spans="1:13" x14ac:dyDescent="0.35">
      <c r="A26" t="s">
        <v>549</v>
      </c>
      <c r="B26" t="s">
        <v>20</v>
      </c>
      <c r="C26" t="s">
        <v>66</v>
      </c>
      <c r="D26" t="s">
        <v>67</v>
      </c>
      <c r="E26" t="s">
        <v>39</v>
      </c>
      <c r="F26" t="s">
        <v>40</v>
      </c>
      <c r="G26" t="s">
        <v>48</v>
      </c>
      <c r="H26" t="s">
        <v>29</v>
      </c>
      <c r="I26">
        <v>1</v>
      </c>
      <c r="J26">
        <v>36.21</v>
      </c>
      <c r="K26">
        <v>36.21</v>
      </c>
      <c r="L26" t="s">
        <v>585</v>
      </c>
      <c r="M26" t="s">
        <v>587</v>
      </c>
    </row>
    <row r="27" spans="1:13" x14ac:dyDescent="0.35">
      <c r="A27" t="s">
        <v>548</v>
      </c>
      <c r="B27" t="s">
        <v>118</v>
      </c>
      <c r="C27" t="s">
        <v>55</v>
      </c>
      <c r="D27" t="s">
        <v>14</v>
      </c>
      <c r="E27" t="s">
        <v>39</v>
      </c>
      <c r="F27" t="s">
        <v>16</v>
      </c>
      <c r="G27" t="s">
        <v>48</v>
      </c>
      <c r="H27" t="s">
        <v>29</v>
      </c>
      <c r="I27">
        <v>5</v>
      </c>
      <c r="J27">
        <v>724.37</v>
      </c>
      <c r="K27">
        <v>3621.85</v>
      </c>
      <c r="L27" t="s">
        <v>588</v>
      </c>
      <c r="M27" t="s">
        <v>586</v>
      </c>
    </row>
    <row r="28" spans="1:13" x14ac:dyDescent="0.35">
      <c r="A28" t="s">
        <v>547</v>
      </c>
      <c r="B28" t="s">
        <v>88</v>
      </c>
      <c r="C28" t="s">
        <v>21</v>
      </c>
      <c r="D28" t="s">
        <v>22</v>
      </c>
      <c r="E28" t="s">
        <v>39</v>
      </c>
      <c r="F28" t="s">
        <v>23</v>
      </c>
      <c r="G28" t="s">
        <v>45</v>
      </c>
      <c r="H28" t="s">
        <v>29</v>
      </c>
      <c r="I28">
        <v>4</v>
      </c>
      <c r="J28">
        <v>245.34</v>
      </c>
      <c r="K28">
        <v>981.36</v>
      </c>
      <c r="L28" t="s">
        <v>585</v>
      </c>
      <c r="M28" t="s">
        <v>587</v>
      </c>
    </row>
    <row r="29" spans="1:13" x14ac:dyDescent="0.35">
      <c r="A29" t="s">
        <v>87</v>
      </c>
      <c r="B29" t="s">
        <v>88</v>
      </c>
      <c r="C29" t="s">
        <v>32</v>
      </c>
      <c r="D29" t="s">
        <v>33</v>
      </c>
      <c r="E29" t="s">
        <v>63</v>
      </c>
      <c r="F29" t="s">
        <v>16</v>
      </c>
      <c r="G29" t="s">
        <v>45</v>
      </c>
      <c r="H29" t="s">
        <v>29</v>
      </c>
      <c r="I29">
        <v>1</v>
      </c>
      <c r="J29">
        <v>3.06</v>
      </c>
      <c r="K29">
        <v>3.06</v>
      </c>
      <c r="L29" t="s">
        <v>585</v>
      </c>
      <c r="M29" t="s">
        <v>587</v>
      </c>
    </row>
    <row r="30" spans="1:13" x14ac:dyDescent="0.35">
      <c r="A30" t="s">
        <v>89</v>
      </c>
      <c r="B30" t="s">
        <v>90</v>
      </c>
      <c r="C30" t="s">
        <v>32</v>
      </c>
      <c r="D30" t="s">
        <v>33</v>
      </c>
      <c r="E30" t="s">
        <v>39</v>
      </c>
      <c r="F30" t="s">
        <v>16</v>
      </c>
      <c r="G30" t="s">
        <v>45</v>
      </c>
      <c r="H30" t="s">
        <v>29</v>
      </c>
      <c r="I30">
        <v>10</v>
      </c>
      <c r="J30">
        <v>3.07</v>
      </c>
      <c r="K30">
        <v>30.7</v>
      </c>
      <c r="L30" t="s">
        <v>585</v>
      </c>
      <c r="M30" t="s">
        <v>586</v>
      </c>
    </row>
    <row r="31" spans="1:13" x14ac:dyDescent="0.35">
      <c r="A31" t="s">
        <v>545</v>
      </c>
      <c r="B31" t="s">
        <v>94</v>
      </c>
      <c r="C31" t="s">
        <v>21</v>
      </c>
      <c r="D31" t="s">
        <v>22</v>
      </c>
      <c r="E31" t="s">
        <v>15</v>
      </c>
      <c r="F31" t="s">
        <v>16</v>
      </c>
      <c r="G31" t="s">
        <v>35</v>
      </c>
      <c r="H31" t="s">
        <v>29</v>
      </c>
      <c r="I31">
        <v>8</v>
      </c>
      <c r="J31">
        <v>234.41</v>
      </c>
      <c r="K31">
        <v>1875.28</v>
      </c>
      <c r="L31" t="s">
        <v>588</v>
      </c>
      <c r="M31" t="s">
        <v>586</v>
      </c>
    </row>
    <row r="32" spans="1:13" x14ac:dyDescent="0.35">
      <c r="A32" t="s">
        <v>544</v>
      </c>
      <c r="B32" t="s">
        <v>65</v>
      </c>
      <c r="C32" t="s">
        <v>55</v>
      </c>
      <c r="D32" t="s">
        <v>14</v>
      </c>
      <c r="E32" t="s">
        <v>39</v>
      </c>
      <c r="F32" t="s">
        <v>47</v>
      </c>
      <c r="G32" t="s">
        <v>45</v>
      </c>
      <c r="H32" t="s">
        <v>29</v>
      </c>
      <c r="I32">
        <v>5</v>
      </c>
      <c r="J32">
        <v>664.42</v>
      </c>
      <c r="K32">
        <v>3322.1</v>
      </c>
      <c r="L32" t="s">
        <v>588</v>
      </c>
      <c r="M32" t="s">
        <v>586</v>
      </c>
    </row>
    <row r="33" spans="1:13" x14ac:dyDescent="0.35">
      <c r="A33" t="s">
        <v>543</v>
      </c>
      <c r="B33" t="s">
        <v>37</v>
      </c>
      <c r="C33" t="s">
        <v>38</v>
      </c>
      <c r="D33" t="s">
        <v>14</v>
      </c>
      <c r="E33" t="s">
        <v>39</v>
      </c>
      <c r="F33" t="s">
        <v>23</v>
      </c>
      <c r="G33" t="s">
        <v>45</v>
      </c>
      <c r="H33" t="s">
        <v>29</v>
      </c>
      <c r="I33">
        <v>5</v>
      </c>
      <c r="J33">
        <v>32.14</v>
      </c>
      <c r="K33">
        <v>160.69999999999999</v>
      </c>
      <c r="L33" t="s">
        <v>585</v>
      </c>
      <c r="M33" t="s">
        <v>586</v>
      </c>
    </row>
    <row r="34" spans="1:13" x14ac:dyDescent="0.35">
      <c r="A34" t="s">
        <v>542</v>
      </c>
      <c r="B34" t="s">
        <v>77</v>
      </c>
      <c r="C34" t="s">
        <v>32</v>
      </c>
      <c r="D34" t="s">
        <v>33</v>
      </c>
      <c r="E34" t="s">
        <v>15</v>
      </c>
      <c r="F34" t="s">
        <v>47</v>
      </c>
      <c r="G34" t="s">
        <v>48</v>
      </c>
      <c r="H34" t="s">
        <v>29</v>
      </c>
      <c r="I34">
        <v>8</v>
      </c>
      <c r="J34">
        <v>3.18</v>
      </c>
      <c r="K34">
        <v>25.44</v>
      </c>
      <c r="L34" t="s">
        <v>585</v>
      </c>
      <c r="M34" t="s">
        <v>586</v>
      </c>
    </row>
    <row r="35" spans="1:13" x14ac:dyDescent="0.35">
      <c r="A35" t="s">
        <v>539</v>
      </c>
      <c r="B35" t="s">
        <v>12</v>
      </c>
      <c r="C35" t="s">
        <v>66</v>
      </c>
      <c r="D35" t="s">
        <v>67</v>
      </c>
      <c r="E35" t="s">
        <v>15</v>
      </c>
      <c r="F35" t="s">
        <v>28</v>
      </c>
      <c r="G35" t="s">
        <v>74</v>
      </c>
      <c r="H35" t="s">
        <v>29</v>
      </c>
      <c r="I35">
        <v>1</v>
      </c>
      <c r="J35">
        <v>41.23</v>
      </c>
      <c r="K35">
        <v>41.23</v>
      </c>
      <c r="L35" t="s">
        <v>585</v>
      </c>
      <c r="M35" t="s">
        <v>587</v>
      </c>
    </row>
    <row r="36" spans="1:13" x14ac:dyDescent="0.35">
      <c r="A36" t="s">
        <v>98</v>
      </c>
      <c r="B36" t="s">
        <v>94</v>
      </c>
      <c r="C36" t="s">
        <v>21</v>
      </c>
      <c r="D36" t="s">
        <v>22</v>
      </c>
      <c r="E36" t="s">
        <v>15</v>
      </c>
      <c r="F36" t="s">
        <v>40</v>
      </c>
      <c r="G36" t="s">
        <v>48</v>
      </c>
      <c r="H36" t="s">
        <v>29</v>
      </c>
      <c r="I36">
        <v>9</v>
      </c>
      <c r="J36">
        <v>235.22</v>
      </c>
      <c r="K36">
        <v>2116.98</v>
      </c>
      <c r="L36" t="s">
        <v>588</v>
      </c>
      <c r="M36" t="s">
        <v>586</v>
      </c>
    </row>
    <row r="37" spans="1:13" x14ac:dyDescent="0.35">
      <c r="A37" t="s">
        <v>99</v>
      </c>
      <c r="B37" t="s">
        <v>84</v>
      </c>
      <c r="C37" t="s">
        <v>58</v>
      </c>
      <c r="D37" t="s">
        <v>22</v>
      </c>
      <c r="E37" t="s">
        <v>63</v>
      </c>
      <c r="F37" t="s">
        <v>28</v>
      </c>
      <c r="G37" t="s">
        <v>35</v>
      </c>
      <c r="H37" t="s">
        <v>29</v>
      </c>
      <c r="I37">
        <v>5</v>
      </c>
      <c r="J37">
        <v>110.89</v>
      </c>
      <c r="K37">
        <v>554.45000000000005</v>
      </c>
      <c r="L37" t="s">
        <v>585</v>
      </c>
      <c r="M37" t="s">
        <v>586</v>
      </c>
    </row>
    <row r="38" spans="1:13" x14ac:dyDescent="0.35">
      <c r="A38" t="s">
        <v>100</v>
      </c>
      <c r="B38" t="s">
        <v>65</v>
      </c>
      <c r="C38" t="s">
        <v>32</v>
      </c>
      <c r="D38" t="s">
        <v>33</v>
      </c>
      <c r="E38" t="s">
        <v>44</v>
      </c>
      <c r="F38" t="s">
        <v>40</v>
      </c>
      <c r="G38" t="s">
        <v>74</v>
      </c>
      <c r="H38" t="s">
        <v>29</v>
      </c>
      <c r="I38">
        <v>4</v>
      </c>
      <c r="J38">
        <v>3.14</v>
      </c>
      <c r="K38">
        <v>12.56</v>
      </c>
      <c r="L38" t="s">
        <v>585</v>
      </c>
      <c r="M38" t="s">
        <v>587</v>
      </c>
    </row>
    <row r="39" spans="1:13" x14ac:dyDescent="0.35">
      <c r="A39" t="s">
        <v>537</v>
      </c>
      <c r="B39" t="s">
        <v>94</v>
      </c>
      <c r="C39" t="s">
        <v>38</v>
      </c>
      <c r="D39" t="s">
        <v>14</v>
      </c>
      <c r="E39" t="s">
        <v>44</v>
      </c>
      <c r="F39" t="s">
        <v>16</v>
      </c>
      <c r="G39" t="s">
        <v>45</v>
      </c>
      <c r="H39" t="s">
        <v>29</v>
      </c>
      <c r="I39">
        <v>1</v>
      </c>
      <c r="J39">
        <v>35.159999999999997</v>
      </c>
      <c r="K39">
        <v>35.159999999999997</v>
      </c>
      <c r="L39" t="s">
        <v>585</v>
      </c>
      <c r="M39" t="s">
        <v>587</v>
      </c>
    </row>
    <row r="40" spans="1:13" x14ac:dyDescent="0.35">
      <c r="A40" t="s">
        <v>103</v>
      </c>
      <c r="B40" t="s">
        <v>20</v>
      </c>
      <c r="C40" t="s">
        <v>32</v>
      </c>
      <c r="D40" t="s">
        <v>33</v>
      </c>
      <c r="E40" t="s">
        <v>39</v>
      </c>
      <c r="F40" t="s">
        <v>16</v>
      </c>
      <c r="G40" t="s">
        <v>45</v>
      </c>
      <c r="H40" t="s">
        <v>29</v>
      </c>
      <c r="I40">
        <v>3</v>
      </c>
      <c r="J40">
        <v>3</v>
      </c>
      <c r="K40">
        <v>9</v>
      </c>
      <c r="L40" t="s">
        <v>585</v>
      </c>
      <c r="M40" t="s">
        <v>587</v>
      </c>
    </row>
    <row r="41" spans="1:13" x14ac:dyDescent="0.35">
      <c r="A41" t="s">
        <v>104</v>
      </c>
      <c r="B41" t="s">
        <v>84</v>
      </c>
      <c r="C41" t="s">
        <v>27</v>
      </c>
      <c r="D41" t="s">
        <v>14</v>
      </c>
      <c r="E41" t="s">
        <v>15</v>
      </c>
      <c r="F41" t="s">
        <v>47</v>
      </c>
      <c r="G41" t="s">
        <v>24</v>
      </c>
      <c r="H41" t="s">
        <v>29</v>
      </c>
      <c r="I41">
        <v>1</v>
      </c>
      <c r="J41">
        <v>21.46</v>
      </c>
      <c r="K41">
        <v>21.46</v>
      </c>
      <c r="L41" t="s">
        <v>585</v>
      </c>
      <c r="M41" t="s">
        <v>587</v>
      </c>
    </row>
    <row r="42" spans="1:13" x14ac:dyDescent="0.35">
      <c r="A42" t="s">
        <v>105</v>
      </c>
      <c r="B42" t="s">
        <v>57</v>
      </c>
      <c r="C42" t="s">
        <v>58</v>
      </c>
      <c r="D42" t="s">
        <v>22</v>
      </c>
      <c r="E42" t="s">
        <v>44</v>
      </c>
      <c r="F42" t="s">
        <v>40</v>
      </c>
      <c r="G42" t="s">
        <v>35</v>
      </c>
      <c r="H42" t="s">
        <v>29</v>
      </c>
      <c r="I42">
        <v>7</v>
      </c>
      <c r="J42">
        <v>123.11</v>
      </c>
      <c r="K42">
        <v>861.77</v>
      </c>
      <c r="L42" t="s">
        <v>585</v>
      </c>
      <c r="M42" t="s">
        <v>586</v>
      </c>
    </row>
    <row r="43" spans="1:13" x14ac:dyDescent="0.35">
      <c r="A43" t="s">
        <v>535</v>
      </c>
      <c r="B43" t="s">
        <v>12</v>
      </c>
      <c r="C43" t="s">
        <v>66</v>
      </c>
      <c r="D43" t="s">
        <v>67</v>
      </c>
      <c r="E43" t="s">
        <v>39</v>
      </c>
      <c r="F43" t="s">
        <v>40</v>
      </c>
      <c r="G43" t="s">
        <v>74</v>
      </c>
      <c r="H43" t="s">
        <v>29</v>
      </c>
      <c r="I43">
        <v>9</v>
      </c>
      <c r="J43">
        <v>36.26</v>
      </c>
      <c r="K43">
        <v>326.33999999999997</v>
      </c>
      <c r="L43" t="s">
        <v>585</v>
      </c>
      <c r="M43" t="s">
        <v>586</v>
      </c>
    </row>
    <row r="44" spans="1:13" x14ac:dyDescent="0.35">
      <c r="A44" t="s">
        <v>534</v>
      </c>
      <c r="B44" t="s">
        <v>111</v>
      </c>
      <c r="C44" t="s">
        <v>61</v>
      </c>
      <c r="D44" t="s">
        <v>14</v>
      </c>
      <c r="E44" t="s">
        <v>63</v>
      </c>
      <c r="F44" t="s">
        <v>23</v>
      </c>
      <c r="G44" t="s">
        <v>45</v>
      </c>
      <c r="H44" t="s">
        <v>29</v>
      </c>
      <c r="I44">
        <v>2</v>
      </c>
      <c r="J44">
        <v>183.33</v>
      </c>
      <c r="K44">
        <v>366.66</v>
      </c>
      <c r="L44" t="s">
        <v>585</v>
      </c>
      <c r="M44" t="s">
        <v>587</v>
      </c>
    </row>
    <row r="45" spans="1:13" x14ac:dyDescent="0.35">
      <c r="A45" t="s">
        <v>109</v>
      </c>
      <c r="B45" t="s">
        <v>12</v>
      </c>
      <c r="C45" t="s">
        <v>58</v>
      </c>
      <c r="D45" t="s">
        <v>22</v>
      </c>
      <c r="E45" t="s">
        <v>63</v>
      </c>
      <c r="F45" t="s">
        <v>23</v>
      </c>
      <c r="G45" t="s">
        <v>48</v>
      </c>
      <c r="H45" t="s">
        <v>29</v>
      </c>
      <c r="I45">
        <v>1</v>
      </c>
      <c r="J45">
        <v>135.72</v>
      </c>
      <c r="K45">
        <v>135.72</v>
      </c>
      <c r="L45" t="s">
        <v>585</v>
      </c>
      <c r="M45" t="s">
        <v>587</v>
      </c>
    </row>
    <row r="46" spans="1:13" x14ac:dyDescent="0.35">
      <c r="A46" t="s">
        <v>532</v>
      </c>
      <c r="B46" t="s">
        <v>69</v>
      </c>
      <c r="C46" t="s">
        <v>13</v>
      </c>
      <c r="D46" t="s">
        <v>14</v>
      </c>
      <c r="E46" t="s">
        <v>15</v>
      </c>
      <c r="F46" t="s">
        <v>16</v>
      </c>
      <c r="G46" t="s">
        <v>45</v>
      </c>
      <c r="H46" t="s">
        <v>29</v>
      </c>
      <c r="I46">
        <v>1</v>
      </c>
      <c r="J46">
        <v>154.41999999999999</v>
      </c>
      <c r="K46">
        <v>154.41999999999999</v>
      </c>
      <c r="L46" t="s">
        <v>585</v>
      </c>
      <c r="M46" t="s">
        <v>587</v>
      </c>
    </row>
    <row r="47" spans="1:13" x14ac:dyDescent="0.35">
      <c r="A47" t="s">
        <v>112</v>
      </c>
      <c r="B47" t="s">
        <v>73</v>
      </c>
      <c r="C47" t="s">
        <v>27</v>
      </c>
      <c r="D47" t="s">
        <v>14</v>
      </c>
      <c r="E47" t="s">
        <v>15</v>
      </c>
      <c r="F47" t="s">
        <v>34</v>
      </c>
      <c r="G47" t="s">
        <v>45</v>
      </c>
      <c r="H47" t="s">
        <v>29</v>
      </c>
      <c r="I47">
        <v>8</v>
      </c>
      <c r="J47">
        <v>22.99</v>
      </c>
      <c r="K47">
        <v>183.92</v>
      </c>
      <c r="L47" t="s">
        <v>585</v>
      </c>
      <c r="M47" t="s">
        <v>586</v>
      </c>
    </row>
    <row r="48" spans="1:13" x14ac:dyDescent="0.35">
      <c r="A48" t="s">
        <v>528</v>
      </c>
      <c r="B48" t="s">
        <v>88</v>
      </c>
      <c r="C48" t="s">
        <v>43</v>
      </c>
      <c r="D48" t="s">
        <v>33</v>
      </c>
      <c r="E48" t="s">
        <v>44</v>
      </c>
      <c r="F48" t="s">
        <v>23</v>
      </c>
      <c r="G48" t="s">
        <v>48</v>
      </c>
      <c r="H48" t="s">
        <v>29</v>
      </c>
      <c r="I48">
        <v>8</v>
      </c>
      <c r="J48">
        <v>5.35</v>
      </c>
      <c r="K48">
        <v>42.8</v>
      </c>
      <c r="L48" t="s">
        <v>585</v>
      </c>
      <c r="M48" t="s">
        <v>586</v>
      </c>
    </row>
    <row r="49" spans="1:13" x14ac:dyDescent="0.35">
      <c r="A49" t="s">
        <v>526</v>
      </c>
      <c r="B49" t="s">
        <v>52</v>
      </c>
      <c r="C49" t="s">
        <v>38</v>
      </c>
      <c r="D49" t="s">
        <v>14</v>
      </c>
      <c r="E49" t="s">
        <v>44</v>
      </c>
      <c r="F49" t="s">
        <v>28</v>
      </c>
      <c r="G49" t="s">
        <v>48</v>
      </c>
      <c r="H49" t="s">
        <v>29</v>
      </c>
      <c r="I49">
        <v>8</v>
      </c>
      <c r="J49">
        <v>34.33</v>
      </c>
      <c r="K49">
        <v>274.64</v>
      </c>
      <c r="L49" t="s">
        <v>585</v>
      </c>
      <c r="M49" t="s">
        <v>586</v>
      </c>
    </row>
    <row r="50" spans="1:13" x14ac:dyDescent="0.35">
      <c r="A50" t="s">
        <v>524</v>
      </c>
      <c r="B50" t="s">
        <v>52</v>
      </c>
      <c r="C50" t="s">
        <v>55</v>
      </c>
      <c r="D50" t="s">
        <v>14</v>
      </c>
      <c r="E50" t="s">
        <v>44</v>
      </c>
      <c r="F50" t="s">
        <v>23</v>
      </c>
      <c r="G50" t="s">
        <v>48</v>
      </c>
      <c r="H50" t="s">
        <v>29</v>
      </c>
      <c r="I50">
        <v>5</v>
      </c>
      <c r="J50">
        <v>825.55</v>
      </c>
      <c r="K50">
        <v>4127.75</v>
      </c>
      <c r="L50" t="s">
        <v>588</v>
      </c>
      <c r="M50" t="s">
        <v>586</v>
      </c>
    </row>
    <row r="51" spans="1:13" x14ac:dyDescent="0.35">
      <c r="A51" t="s">
        <v>116</v>
      </c>
      <c r="B51" t="s">
        <v>84</v>
      </c>
      <c r="C51" t="s">
        <v>58</v>
      </c>
      <c r="D51" t="s">
        <v>22</v>
      </c>
      <c r="E51" t="s">
        <v>44</v>
      </c>
      <c r="F51" t="s">
        <v>23</v>
      </c>
      <c r="G51" t="s">
        <v>35</v>
      </c>
      <c r="H51" t="s">
        <v>29</v>
      </c>
      <c r="I51">
        <v>5</v>
      </c>
      <c r="J51">
        <v>123.24</v>
      </c>
      <c r="K51">
        <v>616.20000000000005</v>
      </c>
      <c r="L51" t="s">
        <v>585</v>
      </c>
      <c r="M51" t="s">
        <v>586</v>
      </c>
    </row>
    <row r="52" spans="1:13" x14ac:dyDescent="0.35">
      <c r="A52" t="s">
        <v>117</v>
      </c>
      <c r="B52" t="s">
        <v>118</v>
      </c>
      <c r="C52" t="s">
        <v>55</v>
      </c>
      <c r="D52" t="s">
        <v>14</v>
      </c>
      <c r="E52" t="s">
        <v>44</v>
      </c>
      <c r="F52" t="s">
        <v>28</v>
      </c>
      <c r="G52" t="s">
        <v>48</v>
      </c>
      <c r="H52" t="s">
        <v>29</v>
      </c>
      <c r="I52">
        <v>5</v>
      </c>
      <c r="J52">
        <v>704.06</v>
      </c>
      <c r="K52">
        <v>3520.3</v>
      </c>
      <c r="L52" t="s">
        <v>588</v>
      </c>
      <c r="M52" t="s">
        <v>586</v>
      </c>
    </row>
    <row r="53" spans="1:13" x14ac:dyDescent="0.35">
      <c r="A53" t="s">
        <v>119</v>
      </c>
      <c r="B53" t="s">
        <v>42</v>
      </c>
      <c r="C53" t="s">
        <v>66</v>
      </c>
      <c r="D53" t="s">
        <v>67</v>
      </c>
      <c r="E53" t="s">
        <v>39</v>
      </c>
      <c r="F53" t="s">
        <v>23</v>
      </c>
      <c r="G53" t="s">
        <v>24</v>
      </c>
      <c r="H53" t="s">
        <v>29</v>
      </c>
      <c r="I53">
        <v>10</v>
      </c>
      <c r="J53">
        <v>41.95</v>
      </c>
      <c r="K53">
        <v>419.5</v>
      </c>
      <c r="L53" t="s">
        <v>585</v>
      </c>
      <c r="M53" t="s">
        <v>586</v>
      </c>
    </row>
    <row r="54" spans="1:13" x14ac:dyDescent="0.35">
      <c r="A54" t="s">
        <v>120</v>
      </c>
      <c r="B54" t="s">
        <v>71</v>
      </c>
      <c r="C54" t="s">
        <v>55</v>
      </c>
      <c r="D54" t="s">
        <v>14</v>
      </c>
      <c r="E54" t="s">
        <v>15</v>
      </c>
      <c r="F54" t="s">
        <v>16</v>
      </c>
      <c r="G54" t="s">
        <v>74</v>
      </c>
      <c r="H54" t="s">
        <v>29</v>
      </c>
      <c r="I54">
        <v>3</v>
      </c>
      <c r="J54">
        <v>823.3</v>
      </c>
      <c r="K54">
        <v>2469.9</v>
      </c>
      <c r="L54" t="s">
        <v>588</v>
      </c>
      <c r="M54" t="s">
        <v>587</v>
      </c>
    </row>
    <row r="55" spans="1:13" x14ac:dyDescent="0.35">
      <c r="A55" t="s">
        <v>520</v>
      </c>
      <c r="B55" t="s">
        <v>12</v>
      </c>
      <c r="C55" t="s">
        <v>21</v>
      </c>
      <c r="D55" t="s">
        <v>22</v>
      </c>
      <c r="E55" t="s">
        <v>63</v>
      </c>
      <c r="F55" t="s">
        <v>23</v>
      </c>
      <c r="G55" t="s">
        <v>35</v>
      </c>
      <c r="H55" t="s">
        <v>29</v>
      </c>
      <c r="I55">
        <v>2</v>
      </c>
      <c r="J55">
        <v>255.01</v>
      </c>
      <c r="K55">
        <v>510.02</v>
      </c>
      <c r="L55" t="s">
        <v>585</v>
      </c>
      <c r="M55" t="s">
        <v>587</v>
      </c>
    </row>
    <row r="56" spans="1:13" x14ac:dyDescent="0.35">
      <c r="A56" t="s">
        <v>519</v>
      </c>
      <c r="B56" t="s">
        <v>128</v>
      </c>
      <c r="C56" t="s">
        <v>32</v>
      </c>
      <c r="D56" t="s">
        <v>33</v>
      </c>
      <c r="E56" t="s">
        <v>44</v>
      </c>
      <c r="F56" t="s">
        <v>23</v>
      </c>
      <c r="G56" t="s">
        <v>17</v>
      </c>
      <c r="H56" t="s">
        <v>29</v>
      </c>
      <c r="I56">
        <v>4</v>
      </c>
      <c r="J56">
        <v>3</v>
      </c>
      <c r="K56">
        <v>12</v>
      </c>
      <c r="L56" t="s">
        <v>585</v>
      </c>
      <c r="M56" t="s">
        <v>587</v>
      </c>
    </row>
    <row r="57" spans="1:13" x14ac:dyDescent="0.35">
      <c r="A57" t="s">
        <v>123</v>
      </c>
      <c r="B57" t="s">
        <v>124</v>
      </c>
      <c r="C57" t="s">
        <v>27</v>
      </c>
      <c r="D57" t="s">
        <v>14</v>
      </c>
      <c r="E57" t="s">
        <v>15</v>
      </c>
      <c r="F57" t="s">
        <v>40</v>
      </c>
      <c r="G57" t="s">
        <v>24</v>
      </c>
      <c r="H57" t="s">
        <v>29</v>
      </c>
      <c r="I57">
        <v>10</v>
      </c>
      <c r="J57">
        <v>22.51</v>
      </c>
      <c r="K57">
        <v>225.1</v>
      </c>
      <c r="L57" t="s">
        <v>585</v>
      </c>
      <c r="M57" t="s">
        <v>586</v>
      </c>
    </row>
    <row r="58" spans="1:13" x14ac:dyDescent="0.35">
      <c r="A58" t="s">
        <v>125</v>
      </c>
      <c r="B58" t="s">
        <v>71</v>
      </c>
      <c r="C58" t="s">
        <v>32</v>
      </c>
      <c r="D58" t="s">
        <v>33</v>
      </c>
      <c r="E58" t="s">
        <v>39</v>
      </c>
      <c r="F58" t="s">
        <v>40</v>
      </c>
      <c r="G58" t="s">
        <v>35</v>
      </c>
      <c r="H58" t="s">
        <v>29</v>
      </c>
      <c r="I58">
        <v>9</v>
      </c>
      <c r="J58">
        <v>3.57</v>
      </c>
      <c r="K58">
        <v>32.130000000000003</v>
      </c>
      <c r="L58" t="s">
        <v>585</v>
      </c>
      <c r="M58" t="s">
        <v>586</v>
      </c>
    </row>
    <row r="59" spans="1:13" x14ac:dyDescent="0.35">
      <c r="A59" t="s">
        <v>126</v>
      </c>
      <c r="B59" t="s">
        <v>52</v>
      </c>
      <c r="C59" t="s">
        <v>21</v>
      </c>
      <c r="D59" t="s">
        <v>22</v>
      </c>
      <c r="E59" t="s">
        <v>39</v>
      </c>
      <c r="F59" t="s">
        <v>28</v>
      </c>
      <c r="G59" t="s">
        <v>17</v>
      </c>
      <c r="H59" t="s">
        <v>29</v>
      </c>
      <c r="I59">
        <v>1</v>
      </c>
      <c r="J59">
        <v>298.38</v>
      </c>
      <c r="K59">
        <v>298.38</v>
      </c>
      <c r="L59" t="s">
        <v>585</v>
      </c>
      <c r="M59" t="s">
        <v>587</v>
      </c>
    </row>
    <row r="60" spans="1:13" x14ac:dyDescent="0.35">
      <c r="A60" t="s">
        <v>518</v>
      </c>
      <c r="B60" t="s">
        <v>94</v>
      </c>
      <c r="C60" t="s">
        <v>66</v>
      </c>
      <c r="D60" t="s">
        <v>67</v>
      </c>
      <c r="E60" t="s">
        <v>15</v>
      </c>
      <c r="F60" t="s">
        <v>16</v>
      </c>
      <c r="G60" t="s">
        <v>48</v>
      </c>
      <c r="H60" t="s">
        <v>29</v>
      </c>
      <c r="I60">
        <v>5</v>
      </c>
      <c r="J60">
        <v>47.23</v>
      </c>
      <c r="K60">
        <v>236.15</v>
      </c>
      <c r="L60" t="s">
        <v>585</v>
      </c>
      <c r="M60" t="s">
        <v>586</v>
      </c>
    </row>
    <row r="61" spans="1:13" x14ac:dyDescent="0.35">
      <c r="A61" t="s">
        <v>517</v>
      </c>
      <c r="B61" t="s">
        <v>94</v>
      </c>
      <c r="C61" t="s">
        <v>38</v>
      </c>
      <c r="D61" t="s">
        <v>14</v>
      </c>
      <c r="E61" t="s">
        <v>39</v>
      </c>
      <c r="F61" t="s">
        <v>40</v>
      </c>
      <c r="G61" t="s">
        <v>24</v>
      </c>
      <c r="H61" t="s">
        <v>29</v>
      </c>
      <c r="I61">
        <v>5</v>
      </c>
      <c r="J61">
        <v>34.49</v>
      </c>
      <c r="K61">
        <v>172.45</v>
      </c>
      <c r="L61" t="s">
        <v>585</v>
      </c>
      <c r="M61" t="s">
        <v>586</v>
      </c>
    </row>
    <row r="62" spans="1:13" x14ac:dyDescent="0.35">
      <c r="A62" t="s">
        <v>515</v>
      </c>
      <c r="B62" t="s">
        <v>31</v>
      </c>
      <c r="C62" t="s">
        <v>21</v>
      </c>
      <c r="D62" t="s">
        <v>22</v>
      </c>
      <c r="E62" t="s">
        <v>15</v>
      </c>
      <c r="F62" t="s">
        <v>34</v>
      </c>
      <c r="G62" t="s">
        <v>35</v>
      </c>
      <c r="H62" t="s">
        <v>29</v>
      </c>
      <c r="I62">
        <v>3</v>
      </c>
      <c r="J62">
        <v>225.52</v>
      </c>
      <c r="K62">
        <v>676.56</v>
      </c>
      <c r="L62" t="s">
        <v>585</v>
      </c>
      <c r="M62" t="s">
        <v>587</v>
      </c>
    </row>
    <row r="63" spans="1:13" x14ac:dyDescent="0.35">
      <c r="A63" t="s">
        <v>512</v>
      </c>
      <c r="B63" t="s">
        <v>42</v>
      </c>
      <c r="C63" t="s">
        <v>38</v>
      </c>
      <c r="D63" t="s">
        <v>14</v>
      </c>
      <c r="E63" t="s">
        <v>63</v>
      </c>
      <c r="F63" t="s">
        <v>40</v>
      </c>
      <c r="G63" t="s">
        <v>74</v>
      </c>
      <c r="H63" t="s">
        <v>29</v>
      </c>
      <c r="I63">
        <v>2</v>
      </c>
      <c r="J63">
        <v>33.74</v>
      </c>
      <c r="K63">
        <v>67.48</v>
      </c>
      <c r="L63" t="s">
        <v>585</v>
      </c>
      <c r="M63" t="s">
        <v>587</v>
      </c>
    </row>
    <row r="64" spans="1:13" x14ac:dyDescent="0.35">
      <c r="A64" t="s">
        <v>511</v>
      </c>
      <c r="B64" t="s">
        <v>50</v>
      </c>
      <c r="C64" t="s">
        <v>27</v>
      </c>
      <c r="D64" t="s">
        <v>14</v>
      </c>
      <c r="E64" t="s">
        <v>63</v>
      </c>
      <c r="F64" t="s">
        <v>23</v>
      </c>
      <c r="G64" t="s">
        <v>45</v>
      </c>
      <c r="H64" t="s">
        <v>29</v>
      </c>
      <c r="I64">
        <v>4</v>
      </c>
      <c r="J64">
        <v>23.38</v>
      </c>
      <c r="K64">
        <v>93.52</v>
      </c>
      <c r="L64" t="s">
        <v>585</v>
      </c>
      <c r="M64" t="s">
        <v>587</v>
      </c>
    </row>
    <row r="65" spans="1:13" x14ac:dyDescent="0.35">
      <c r="A65" t="s">
        <v>510</v>
      </c>
      <c r="B65" t="s">
        <v>102</v>
      </c>
      <c r="C65" t="s">
        <v>58</v>
      </c>
      <c r="D65" t="s">
        <v>22</v>
      </c>
      <c r="E65" t="s">
        <v>39</v>
      </c>
      <c r="F65" t="s">
        <v>40</v>
      </c>
      <c r="G65" t="s">
        <v>48</v>
      </c>
      <c r="H65" t="s">
        <v>29</v>
      </c>
      <c r="I65">
        <v>10</v>
      </c>
      <c r="J65">
        <v>141.55000000000001</v>
      </c>
      <c r="K65">
        <v>1415.5</v>
      </c>
      <c r="L65" t="s">
        <v>588</v>
      </c>
      <c r="M65" t="s">
        <v>586</v>
      </c>
    </row>
    <row r="66" spans="1:13" x14ac:dyDescent="0.35">
      <c r="A66" t="s">
        <v>509</v>
      </c>
      <c r="B66" t="s">
        <v>102</v>
      </c>
      <c r="C66" t="s">
        <v>43</v>
      </c>
      <c r="D66" t="s">
        <v>33</v>
      </c>
      <c r="E66" t="s">
        <v>63</v>
      </c>
      <c r="F66" t="s">
        <v>16</v>
      </c>
      <c r="G66" t="s">
        <v>35</v>
      </c>
      <c r="H66" t="s">
        <v>29</v>
      </c>
      <c r="I66">
        <v>2</v>
      </c>
      <c r="J66">
        <v>5.47</v>
      </c>
      <c r="K66">
        <v>10.94</v>
      </c>
      <c r="L66" t="s">
        <v>585</v>
      </c>
      <c r="M66" t="s">
        <v>587</v>
      </c>
    </row>
    <row r="67" spans="1:13" x14ac:dyDescent="0.35">
      <c r="A67" t="s">
        <v>135</v>
      </c>
      <c r="B67" t="s">
        <v>111</v>
      </c>
      <c r="C67" t="s">
        <v>38</v>
      </c>
      <c r="D67" t="s">
        <v>14</v>
      </c>
      <c r="E67" t="s">
        <v>15</v>
      </c>
      <c r="F67" t="s">
        <v>16</v>
      </c>
      <c r="G67" t="s">
        <v>35</v>
      </c>
      <c r="H67" t="s">
        <v>29</v>
      </c>
      <c r="I67">
        <v>2</v>
      </c>
      <c r="J67">
        <v>33.61</v>
      </c>
      <c r="K67">
        <v>67.22</v>
      </c>
      <c r="L67" t="s">
        <v>585</v>
      </c>
      <c r="M67" t="s">
        <v>587</v>
      </c>
    </row>
    <row r="68" spans="1:13" x14ac:dyDescent="0.35">
      <c r="A68" t="s">
        <v>508</v>
      </c>
      <c r="B68" t="s">
        <v>26</v>
      </c>
      <c r="C68" t="s">
        <v>55</v>
      </c>
      <c r="D68" t="s">
        <v>14</v>
      </c>
      <c r="E68" t="s">
        <v>15</v>
      </c>
      <c r="F68" t="s">
        <v>23</v>
      </c>
      <c r="G68" t="s">
        <v>48</v>
      </c>
      <c r="H68" t="s">
        <v>29</v>
      </c>
      <c r="I68">
        <v>4</v>
      </c>
      <c r="J68">
        <v>724.99</v>
      </c>
      <c r="K68">
        <v>2899.96</v>
      </c>
      <c r="L68" t="s">
        <v>588</v>
      </c>
      <c r="M68" t="s">
        <v>587</v>
      </c>
    </row>
    <row r="69" spans="1:13" x14ac:dyDescent="0.35">
      <c r="A69" t="s">
        <v>137</v>
      </c>
      <c r="B69" t="s">
        <v>118</v>
      </c>
      <c r="C69" t="s">
        <v>61</v>
      </c>
      <c r="D69" t="s">
        <v>14</v>
      </c>
      <c r="E69" t="s">
        <v>39</v>
      </c>
      <c r="F69" t="s">
        <v>28</v>
      </c>
      <c r="G69" t="s">
        <v>17</v>
      </c>
      <c r="H69" t="s">
        <v>29</v>
      </c>
      <c r="I69">
        <v>3</v>
      </c>
      <c r="J69">
        <v>166.95</v>
      </c>
      <c r="K69">
        <v>500.85</v>
      </c>
      <c r="L69" t="s">
        <v>585</v>
      </c>
      <c r="M69" t="s">
        <v>587</v>
      </c>
    </row>
    <row r="70" spans="1:13" x14ac:dyDescent="0.35">
      <c r="A70" t="s">
        <v>506</v>
      </c>
      <c r="B70" t="s">
        <v>37</v>
      </c>
      <c r="C70" t="s">
        <v>58</v>
      </c>
      <c r="D70" t="s">
        <v>22</v>
      </c>
      <c r="E70" t="s">
        <v>44</v>
      </c>
      <c r="F70" t="s">
        <v>16</v>
      </c>
      <c r="G70" t="s">
        <v>24</v>
      </c>
      <c r="H70" t="s">
        <v>29</v>
      </c>
      <c r="I70">
        <v>6</v>
      </c>
      <c r="J70">
        <v>119.85</v>
      </c>
      <c r="K70">
        <v>719.1</v>
      </c>
      <c r="L70" t="s">
        <v>585</v>
      </c>
      <c r="M70" t="s">
        <v>586</v>
      </c>
    </row>
    <row r="71" spans="1:13" x14ac:dyDescent="0.35">
      <c r="A71" t="s">
        <v>505</v>
      </c>
      <c r="B71" t="s">
        <v>42</v>
      </c>
      <c r="C71" t="s">
        <v>61</v>
      </c>
      <c r="D71" t="s">
        <v>14</v>
      </c>
      <c r="E71" t="s">
        <v>15</v>
      </c>
      <c r="F71" t="s">
        <v>23</v>
      </c>
      <c r="G71" t="s">
        <v>24</v>
      </c>
      <c r="H71" t="s">
        <v>29</v>
      </c>
      <c r="I71">
        <v>7</v>
      </c>
      <c r="J71">
        <v>166.86</v>
      </c>
      <c r="K71">
        <v>1168.02</v>
      </c>
      <c r="L71" t="s">
        <v>588</v>
      </c>
      <c r="M71" t="s">
        <v>586</v>
      </c>
    </row>
    <row r="72" spans="1:13" x14ac:dyDescent="0.35">
      <c r="A72" t="s">
        <v>140</v>
      </c>
      <c r="B72" t="s">
        <v>20</v>
      </c>
      <c r="C72" t="s">
        <v>27</v>
      </c>
      <c r="D72" t="s">
        <v>14</v>
      </c>
      <c r="E72" t="s">
        <v>39</v>
      </c>
      <c r="F72" t="s">
        <v>23</v>
      </c>
      <c r="G72" t="s">
        <v>35</v>
      </c>
      <c r="H72" t="s">
        <v>29</v>
      </c>
      <c r="I72">
        <v>1</v>
      </c>
      <c r="J72">
        <v>23.67</v>
      </c>
      <c r="K72">
        <v>23.67</v>
      </c>
      <c r="L72" t="s">
        <v>585</v>
      </c>
      <c r="M72" t="s">
        <v>587</v>
      </c>
    </row>
    <row r="73" spans="1:13" x14ac:dyDescent="0.35">
      <c r="A73" t="s">
        <v>504</v>
      </c>
      <c r="B73" t="s">
        <v>71</v>
      </c>
      <c r="C73" t="s">
        <v>58</v>
      </c>
      <c r="D73" t="s">
        <v>22</v>
      </c>
      <c r="E73" t="s">
        <v>44</v>
      </c>
      <c r="F73" t="s">
        <v>16</v>
      </c>
      <c r="G73" t="s">
        <v>24</v>
      </c>
      <c r="H73" t="s">
        <v>29</v>
      </c>
      <c r="I73">
        <v>10</v>
      </c>
      <c r="J73">
        <v>134.06</v>
      </c>
      <c r="K73">
        <v>1340.6</v>
      </c>
      <c r="L73" t="s">
        <v>588</v>
      </c>
      <c r="M73" t="s">
        <v>586</v>
      </c>
    </row>
    <row r="74" spans="1:13" x14ac:dyDescent="0.35">
      <c r="A74" t="s">
        <v>502</v>
      </c>
      <c r="B74" t="s">
        <v>54</v>
      </c>
      <c r="C74" t="s">
        <v>55</v>
      </c>
      <c r="D74" t="s">
        <v>14</v>
      </c>
      <c r="E74" t="s">
        <v>15</v>
      </c>
      <c r="F74" t="s">
        <v>23</v>
      </c>
      <c r="G74" t="s">
        <v>17</v>
      </c>
      <c r="H74" t="s">
        <v>29</v>
      </c>
      <c r="I74">
        <v>7</v>
      </c>
      <c r="J74">
        <v>692.66</v>
      </c>
      <c r="K74">
        <v>4848.62</v>
      </c>
      <c r="L74" t="s">
        <v>588</v>
      </c>
      <c r="M74" t="s">
        <v>586</v>
      </c>
    </row>
    <row r="75" spans="1:13" x14ac:dyDescent="0.35">
      <c r="A75" t="s">
        <v>143</v>
      </c>
      <c r="B75" t="s">
        <v>57</v>
      </c>
      <c r="C75" t="s">
        <v>32</v>
      </c>
      <c r="D75" t="s">
        <v>33</v>
      </c>
      <c r="E75" t="s">
        <v>15</v>
      </c>
      <c r="F75" t="s">
        <v>34</v>
      </c>
      <c r="G75" t="s">
        <v>48</v>
      </c>
      <c r="H75" t="s">
        <v>29</v>
      </c>
      <c r="I75">
        <v>6</v>
      </c>
      <c r="J75">
        <v>3.07</v>
      </c>
      <c r="K75">
        <v>18.420000000000002</v>
      </c>
      <c r="L75" t="s">
        <v>585</v>
      </c>
      <c r="M75" t="s">
        <v>586</v>
      </c>
    </row>
    <row r="76" spans="1:13" x14ac:dyDescent="0.35">
      <c r="A76" t="s">
        <v>501</v>
      </c>
      <c r="B76" t="s">
        <v>88</v>
      </c>
      <c r="C76" t="s">
        <v>21</v>
      </c>
      <c r="D76" t="s">
        <v>22</v>
      </c>
      <c r="E76" t="s">
        <v>39</v>
      </c>
      <c r="F76" t="s">
        <v>34</v>
      </c>
      <c r="G76" t="s">
        <v>48</v>
      </c>
      <c r="H76" t="s">
        <v>29</v>
      </c>
      <c r="I76">
        <v>10</v>
      </c>
      <c r="J76">
        <v>243.36</v>
      </c>
      <c r="K76">
        <v>2433.6</v>
      </c>
      <c r="L76" t="s">
        <v>588</v>
      </c>
      <c r="M76" t="s">
        <v>586</v>
      </c>
    </row>
    <row r="77" spans="1:13" x14ac:dyDescent="0.35">
      <c r="A77" t="s">
        <v>499</v>
      </c>
      <c r="B77" t="s">
        <v>37</v>
      </c>
      <c r="C77" t="s">
        <v>61</v>
      </c>
      <c r="D77" t="s">
        <v>14</v>
      </c>
      <c r="E77" t="s">
        <v>15</v>
      </c>
      <c r="F77" t="s">
        <v>40</v>
      </c>
      <c r="G77" t="s">
        <v>45</v>
      </c>
      <c r="H77" t="s">
        <v>29</v>
      </c>
      <c r="I77">
        <v>2</v>
      </c>
      <c r="J77">
        <v>166.66</v>
      </c>
      <c r="K77">
        <v>333.32</v>
      </c>
      <c r="L77" t="s">
        <v>585</v>
      </c>
      <c r="M77" t="s">
        <v>587</v>
      </c>
    </row>
    <row r="78" spans="1:13" x14ac:dyDescent="0.35">
      <c r="A78" t="s">
        <v>146</v>
      </c>
      <c r="B78" t="s">
        <v>147</v>
      </c>
      <c r="C78" t="s">
        <v>21</v>
      </c>
      <c r="D78" t="s">
        <v>22</v>
      </c>
      <c r="E78" t="s">
        <v>44</v>
      </c>
      <c r="F78" t="s">
        <v>47</v>
      </c>
      <c r="G78" t="s">
        <v>17</v>
      </c>
      <c r="H78" t="s">
        <v>29</v>
      </c>
      <c r="I78">
        <v>5</v>
      </c>
      <c r="J78">
        <v>253.65</v>
      </c>
      <c r="K78">
        <v>1268.25</v>
      </c>
      <c r="L78" t="s">
        <v>588</v>
      </c>
      <c r="M78" t="s">
        <v>586</v>
      </c>
    </row>
    <row r="79" spans="1:13" x14ac:dyDescent="0.35">
      <c r="A79" t="s">
        <v>148</v>
      </c>
      <c r="B79" t="s">
        <v>147</v>
      </c>
      <c r="C79" t="s">
        <v>43</v>
      </c>
      <c r="D79" t="s">
        <v>33</v>
      </c>
      <c r="E79" t="s">
        <v>39</v>
      </c>
      <c r="F79" t="s">
        <v>40</v>
      </c>
      <c r="G79" t="s">
        <v>24</v>
      </c>
      <c r="H79" t="s">
        <v>29</v>
      </c>
      <c r="I79">
        <v>8</v>
      </c>
      <c r="J79">
        <v>5.76</v>
      </c>
      <c r="K79">
        <v>46.08</v>
      </c>
      <c r="L79" t="s">
        <v>585</v>
      </c>
      <c r="M79" t="s">
        <v>586</v>
      </c>
    </row>
    <row r="80" spans="1:13" x14ac:dyDescent="0.35">
      <c r="A80" t="s">
        <v>149</v>
      </c>
      <c r="B80" t="s">
        <v>60</v>
      </c>
      <c r="C80" t="s">
        <v>43</v>
      </c>
      <c r="D80" t="s">
        <v>33</v>
      </c>
      <c r="E80" t="s">
        <v>44</v>
      </c>
      <c r="F80" t="s">
        <v>47</v>
      </c>
      <c r="G80" t="s">
        <v>48</v>
      </c>
      <c r="H80" t="s">
        <v>29</v>
      </c>
      <c r="I80">
        <v>3</v>
      </c>
      <c r="J80">
        <v>5.26</v>
      </c>
      <c r="K80">
        <v>15.78</v>
      </c>
      <c r="L80" t="s">
        <v>585</v>
      </c>
      <c r="M80" t="s">
        <v>587</v>
      </c>
    </row>
    <row r="81" spans="1:13" x14ac:dyDescent="0.35">
      <c r="A81" t="s">
        <v>497</v>
      </c>
      <c r="B81" t="s">
        <v>97</v>
      </c>
      <c r="C81" t="s">
        <v>61</v>
      </c>
      <c r="D81" t="s">
        <v>14</v>
      </c>
      <c r="E81" t="s">
        <v>15</v>
      </c>
      <c r="F81" t="s">
        <v>28</v>
      </c>
      <c r="G81" t="s">
        <v>17</v>
      </c>
      <c r="H81" t="s">
        <v>29</v>
      </c>
      <c r="I81">
        <v>7</v>
      </c>
      <c r="J81">
        <v>182.6</v>
      </c>
      <c r="K81">
        <v>1278.2</v>
      </c>
      <c r="L81" t="s">
        <v>588</v>
      </c>
      <c r="M81" t="s">
        <v>586</v>
      </c>
    </row>
    <row r="82" spans="1:13" x14ac:dyDescent="0.35">
      <c r="A82" t="s">
        <v>496</v>
      </c>
      <c r="B82" t="s">
        <v>57</v>
      </c>
      <c r="C82" t="s">
        <v>32</v>
      </c>
      <c r="D82" t="s">
        <v>33</v>
      </c>
      <c r="E82" t="s">
        <v>63</v>
      </c>
      <c r="F82" t="s">
        <v>16</v>
      </c>
      <c r="G82" t="s">
        <v>35</v>
      </c>
      <c r="H82" t="s">
        <v>29</v>
      </c>
      <c r="I82">
        <v>1</v>
      </c>
      <c r="J82">
        <v>2.82</v>
      </c>
      <c r="K82">
        <v>2.82</v>
      </c>
      <c r="L82" t="s">
        <v>585</v>
      </c>
      <c r="M82" t="s">
        <v>587</v>
      </c>
    </row>
    <row r="83" spans="1:13" x14ac:dyDescent="0.35">
      <c r="A83" t="s">
        <v>495</v>
      </c>
      <c r="B83" t="s">
        <v>37</v>
      </c>
      <c r="C83" t="s">
        <v>32</v>
      </c>
      <c r="D83" t="s">
        <v>33</v>
      </c>
      <c r="E83" t="s">
        <v>15</v>
      </c>
      <c r="F83" t="s">
        <v>23</v>
      </c>
      <c r="G83" t="s">
        <v>17</v>
      </c>
      <c r="H83" t="s">
        <v>29</v>
      </c>
      <c r="I83">
        <v>2</v>
      </c>
      <c r="J83">
        <v>3.28</v>
      </c>
      <c r="K83">
        <v>6.56</v>
      </c>
      <c r="L83" t="s">
        <v>585</v>
      </c>
      <c r="M83" t="s">
        <v>587</v>
      </c>
    </row>
    <row r="84" spans="1:13" x14ac:dyDescent="0.35">
      <c r="A84" t="s">
        <v>153</v>
      </c>
      <c r="B84" t="s">
        <v>31</v>
      </c>
      <c r="C84" t="s">
        <v>61</v>
      </c>
      <c r="D84" t="s">
        <v>14</v>
      </c>
      <c r="E84" t="s">
        <v>15</v>
      </c>
      <c r="F84" t="s">
        <v>40</v>
      </c>
      <c r="G84" t="s">
        <v>35</v>
      </c>
      <c r="H84" t="s">
        <v>29</v>
      </c>
      <c r="I84">
        <v>9</v>
      </c>
      <c r="J84">
        <v>202.47</v>
      </c>
      <c r="K84">
        <v>1822.23</v>
      </c>
      <c r="L84" t="s">
        <v>588</v>
      </c>
      <c r="M84" t="s">
        <v>586</v>
      </c>
    </row>
    <row r="85" spans="1:13" x14ac:dyDescent="0.35">
      <c r="A85" t="s">
        <v>494</v>
      </c>
      <c r="B85" t="s">
        <v>102</v>
      </c>
      <c r="C85" t="s">
        <v>21</v>
      </c>
      <c r="D85" t="s">
        <v>22</v>
      </c>
      <c r="E85" t="s">
        <v>44</v>
      </c>
      <c r="F85" t="s">
        <v>28</v>
      </c>
      <c r="G85" t="s">
        <v>48</v>
      </c>
      <c r="H85" t="s">
        <v>29</v>
      </c>
      <c r="I85">
        <v>6</v>
      </c>
      <c r="J85">
        <v>230.68</v>
      </c>
      <c r="K85">
        <v>1384.08</v>
      </c>
      <c r="L85" t="s">
        <v>588</v>
      </c>
      <c r="M85" t="s">
        <v>586</v>
      </c>
    </row>
    <row r="86" spans="1:13" x14ac:dyDescent="0.35">
      <c r="A86" t="s">
        <v>155</v>
      </c>
      <c r="B86" t="s">
        <v>90</v>
      </c>
      <c r="C86" t="s">
        <v>32</v>
      </c>
      <c r="D86" t="s">
        <v>33</v>
      </c>
      <c r="E86" t="s">
        <v>44</v>
      </c>
      <c r="F86" t="s">
        <v>47</v>
      </c>
      <c r="G86" t="s">
        <v>24</v>
      </c>
      <c r="H86" t="s">
        <v>29</v>
      </c>
      <c r="I86">
        <v>2</v>
      </c>
      <c r="J86">
        <v>3.27</v>
      </c>
      <c r="K86">
        <v>6.54</v>
      </c>
      <c r="L86" t="s">
        <v>585</v>
      </c>
      <c r="M86" t="s">
        <v>587</v>
      </c>
    </row>
    <row r="87" spans="1:13" x14ac:dyDescent="0.35">
      <c r="A87" t="s">
        <v>492</v>
      </c>
      <c r="B87" t="s">
        <v>107</v>
      </c>
      <c r="C87" t="s">
        <v>21</v>
      </c>
      <c r="D87" t="s">
        <v>22</v>
      </c>
      <c r="E87" t="s">
        <v>63</v>
      </c>
      <c r="F87" t="s">
        <v>28</v>
      </c>
      <c r="G87" t="s">
        <v>17</v>
      </c>
      <c r="H87" t="s">
        <v>29</v>
      </c>
      <c r="I87">
        <v>10</v>
      </c>
      <c r="J87">
        <v>285.64999999999998</v>
      </c>
      <c r="K87">
        <v>2856.5</v>
      </c>
      <c r="L87" t="s">
        <v>588</v>
      </c>
      <c r="M87" t="s">
        <v>586</v>
      </c>
    </row>
    <row r="88" spans="1:13" x14ac:dyDescent="0.35">
      <c r="A88" t="s">
        <v>157</v>
      </c>
      <c r="B88" t="s">
        <v>88</v>
      </c>
      <c r="C88" t="s">
        <v>21</v>
      </c>
      <c r="D88" t="s">
        <v>22</v>
      </c>
      <c r="E88" t="s">
        <v>39</v>
      </c>
      <c r="F88" t="s">
        <v>34</v>
      </c>
      <c r="G88" t="s">
        <v>24</v>
      </c>
      <c r="H88" t="s">
        <v>29</v>
      </c>
      <c r="I88">
        <v>8</v>
      </c>
      <c r="J88">
        <v>289.05</v>
      </c>
      <c r="K88">
        <v>2312.4</v>
      </c>
      <c r="L88" t="s">
        <v>588</v>
      </c>
      <c r="M88" t="s">
        <v>586</v>
      </c>
    </row>
    <row r="89" spans="1:13" x14ac:dyDescent="0.35">
      <c r="A89" t="s">
        <v>158</v>
      </c>
      <c r="B89" t="s">
        <v>118</v>
      </c>
      <c r="C89" t="s">
        <v>58</v>
      </c>
      <c r="D89" t="s">
        <v>22</v>
      </c>
      <c r="E89" t="s">
        <v>63</v>
      </c>
      <c r="F89" t="s">
        <v>28</v>
      </c>
      <c r="G89" t="s">
        <v>24</v>
      </c>
      <c r="H89" t="s">
        <v>29</v>
      </c>
      <c r="I89">
        <v>5</v>
      </c>
      <c r="J89">
        <v>116.65</v>
      </c>
      <c r="K89">
        <v>583.25</v>
      </c>
      <c r="L89" t="s">
        <v>585</v>
      </c>
      <c r="M89" t="s">
        <v>586</v>
      </c>
    </row>
    <row r="90" spans="1:13" x14ac:dyDescent="0.35">
      <c r="A90" t="s">
        <v>489</v>
      </c>
      <c r="B90" t="s">
        <v>42</v>
      </c>
      <c r="C90" t="s">
        <v>27</v>
      </c>
      <c r="D90" t="s">
        <v>14</v>
      </c>
      <c r="E90" t="s">
        <v>15</v>
      </c>
      <c r="F90" t="s">
        <v>16</v>
      </c>
      <c r="G90" t="s">
        <v>48</v>
      </c>
      <c r="H90" t="s">
        <v>29</v>
      </c>
      <c r="I90">
        <v>5</v>
      </c>
      <c r="J90">
        <v>22.44</v>
      </c>
      <c r="K90">
        <v>112.2</v>
      </c>
      <c r="L90" t="s">
        <v>585</v>
      </c>
      <c r="M90" t="s">
        <v>586</v>
      </c>
    </row>
    <row r="91" spans="1:13" x14ac:dyDescent="0.35">
      <c r="A91" t="s">
        <v>486</v>
      </c>
      <c r="B91" t="s">
        <v>26</v>
      </c>
      <c r="C91" t="s">
        <v>27</v>
      </c>
      <c r="D91" t="s">
        <v>14</v>
      </c>
      <c r="E91" t="s">
        <v>15</v>
      </c>
      <c r="F91" t="s">
        <v>47</v>
      </c>
      <c r="G91" t="s">
        <v>35</v>
      </c>
      <c r="H91" t="s">
        <v>29</v>
      </c>
      <c r="I91">
        <v>5</v>
      </c>
      <c r="J91">
        <v>20.52</v>
      </c>
      <c r="K91">
        <v>102.6</v>
      </c>
      <c r="L91" t="s">
        <v>585</v>
      </c>
      <c r="M91" t="s">
        <v>586</v>
      </c>
    </row>
    <row r="92" spans="1:13" x14ac:dyDescent="0.35">
      <c r="A92" t="s">
        <v>161</v>
      </c>
      <c r="B92" t="s">
        <v>90</v>
      </c>
      <c r="C92" t="s">
        <v>66</v>
      </c>
      <c r="D92" t="s">
        <v>67</v>
      </c>
      <c r="E92" t="s">
        <v>39</v>
      </c>
      <c r="F92" t="s">
        <v>34</v>
      </c>
      <c r="G92" t="s">
        <v>74</v>
      </c>
      <c r="H92" t="s">
        <v>29</v>
      </c>
      <c r="I92">
        <v>9</v>
      </c>
      <c r="J92">
        <v>39.700000000000003</v>
      </c>
      <c r="K92">
        <v>357.3</v>
      </c>
      <c r="L92" t="s">
        <v>585</v>
      </c>
      <c r="M92" t="s">
        <v>586</v>
      </c>
    </row>
    <row r="93" spans="1:13" x14ac:dyDescent="0.35">
      <c r="A93" t="s">
        <v>485</v>
      </c>
      <c r="B93" t="s">
        <v>107</v>
      </c>
      <c r="C93" t="s">
        <v>13</v>
      </c>
      <c r="D93" t="s">
        <v>14</v>
      </c>
      <c r="E93" t="s">
        <v>39</v>
      </c>
      <c r="F93" t="s">
        <v>40</v>
      </c>
      <c r="G93" t="s">
        <v>35</v>
      </c>
      <c r="H93" t="s">
        <v>29</v>
      </c>
      <c r="I93">
        <v>1</v>
      </c>
      <c r="J93">
        <v>162.32</v>
      </c>
      <c r="K93">
        <v>162.32</v>
      </c>
      <c r="L93" t="s">
        <v>585</v>
      </c>
      <c r="M93" t="s">
        <v>587</v>
      </c>
    </row>
    <row r="94" spans="1:13" x14ac:dyDescent="0.35">
      <c r="A94" t="s">
        <v>484</v>
      </c>
      <c r="B94" t="s">
        <v>147</v>
      </c>
      <c r="C94" t="s">
        <v>27</v>
      </c>
      <c r="D94" t="s">
        <v>14</v>
      </c>
      <c r="E94" t="s">
        <v>63</v>
      </c>
      <c r="F94" t="s">
        <v>16</v>
      </c>
      <c r="G94" t="s">
        <v>35</v>
      </c>
      <c r="H94" t="s">
        <v>29</v>
      </c>
      <c r="I94">
        <v>8</v>
      </c>
      <c r="J94">
        <v>22.83</v>
      </c>
      <c r="K94">
        <v>182.64</v>
      </c>
      <c r="L94" t="s">
        <v>585</v>
      </c>
      <c r="M94" t="s">
        <v>586</v>
      </c>
    </row>
    <row r="95" spans="1:13" x14ac:dyDescent="0.35">
      <c r="A95" t="s">
        <v>164</v>
      </c>
      <c r="B95" t="s">
        <v>50</v>
      </c>
      <c r="C95" t="s">
        <v>27</v>
      </c>
      <c r="D95" t="s">
        <v>14</v>
      </c>
      <c r="E95" t="s">
        <v>15</v>
      </c>
      <c r="F95" t="s">
        <v>16</v>
      </c>
      <c r="G95" t="s">
        <v>74</v>
      </c>
      <c r="H95" t="s">
        <v>29</v>
      </c>
      <c r="I95">
        <v>10</v>
      </c>
      <c r="J95">
        <v>22.97</v>
      </c>
      <c r="K95">
        <v>229.7</v>
      </c>
      <c r="L95" t="s">
        <v>585</v>
      </c>
      <c r="M95" t="s">
        <v>586</v>
      </c>
    </row>
    <row r="96" spans="1:13" x14ac:dyDescent="0.35">
      <c r="A96" t="s">
        <v>483</v>
      </c>
      <c r="B96" t="s">
        <v>94</v>
      </c>
      <c r="C96" t="s">
        <v>66</v>
      </c>
      <c r="D96" t="s">
        <v>67</v>
      </c>
      <c r="E96" t="s">
        <v>44</v>
      </c>
      <c r="F96" t="s">
        <v>40</v>
      </c>
      <c r="G96" t="s">
        <v>48</v>
      </c>
      <c r="H96" t="s">
        <v>29</v>
      </c>
      <c r="I96">
        <v>7</v>
      </c>
      <c r="J96">
        <v>47.27</v>
      </c>
      <c r="K96">
        <v>330.89</v>
      </c>
      <c r="L96" t="s">
        <v>585</v>
      </c>
      <c r="M96" t="s">
        <v>586</v>
      </c>
    </row>
    <row r="97" spans="1:13" x14ac:dyDescent="0.35">
      <c r="A97" t="s">
        <v>480</v>
      </c>
      <c r="B97" t="s">
        <v>12</v>
      </c>
      <c r="C97" t="s">
        <v>38</v>
      </c>
      <c r="D97" t="s">
        <v>14</v>
      </c>
      <c r="E97" t="s">
        <v>39</v>
      </c>
      <c r="F97" t="s">
        <v>16</v>
      </c>
      <c r="G97" t="s">
        <v>74</v>
      </c>
      <c r="H97" t="s">
        <v>29</v>
      </c>
      <c r="I97">
        <v>10</v>
      </c>
      <c r="J97">
        <v>39.49</v>
      </c>
      <c r="K97">
        <v>394.9</v>
      </c>
      <c r="L97" t="s">
        <v>585</v>
      </c>
      <c r="M97" t="s">
        <v>586</v>
      </c>
    </row>
    <row r="98" spans="1:13" x14ac:dyDescent="0.35">
      <c r="A98" t="s">
        <v>479</v>
      </c>
      <c r="B98" t="s">
        <v>69</v>
      </c>
      <c r="C98" t="s">
        <v>32</v>
      </c>
      <c r="D98" t="s">
        <v>33</v>
      </c>
      <c r="E98" t="s">
        <v>39</v>
      </c>
      <c r="F98" t="s">
        <v>40</v>
      </c>
      <c r="G98" t="s">
        <v>74</v>
      </c>
      <c r="H98" t="s">
        <v>29</v>
      </c>
      <c r="I98">
        <v>3</v>
      </c>
      <c r="J98">
        <v>2.72</v>
      </c>
      <c r="K98">
        <v>8.16</v>
      </c>
      <c r="L98" t="s">
        <v>585</v>
      </c>
      <c r="M98" t="s">
        <v>587</v>
      </c>
    </row>
    <row r="99" spans="1:13" x14ac:dyDescent="0.35">
      <c r="A99" t="s">
        <v>168</v>
      </c>
      <c r="B99" t="s">
        <v>12</v>
      </c>
      <c r="C99" t="s">
        <v>32</v>
      </c>
      <c r="D99" t="s">
        <v>33</v>
      </c>
      <c r="E99" t="s">
        <v>39</v>
      </c>
      <c r="F99" t="s">
        <v>34</v>
      </c>
      <c r="G99" t="s">
        <v>45</v>
      </c>
      <c r="H99" t="s">
        <v>29</v>
      </c>
      <c r="I99">
        <v>4</v>
      </c>
      <c r="J99">
        <v>3.36</v>
      </c>
      <c r="K99">
        <v>13.44</v>
      </c>
      <c r="L99" t="s">
        <v>585</v>
      </c>
      <c r="M99" t="s">
        <v>587</v>
      </c>
    </row>
    <row r="100" spans="1:13" x14ac:dyDescent="0.35">
      <c r="A100" t="s">
        <v>477</v>
      </c>
      <c r="B100" t="s">
        <v>26</v>
      </c>
      <c r="C100" t="s">
        <v>27</v>
      </c>
      <c r="D100" t="s">
        <v>14</v>
      </c>
      <c r="E100" t="s">
        <v>15</v>
      </c>
      <c r="F100" t="s">
        <v>28</v>
      </c>
      <c r="G100" t="s">
        <v>17</v>
      </c>
      <c r="H100" t="s">
        <v>29</v>
      </c>
      <c r="I100">
        <v>10</v>
      </c>
      <c r="J100">
        <v>23.39</v>
      </c>
      <c r="K100">
        <v>233.9</v>
      </c>
      <c r="L100" t="s">
        <v>585</v>
      </c>
      <c r="M100" t="s">
        <v>586</v>
      </c>
    </row>
    <row r="101" spans="1:13" x14ac:dyDescent="0.35">
      <c r="A101" t="s">
        <v>476</v>
      </c>
      <c r="B101" t="s">
        <v>20</v>
      </c>
      <c r="C101" t="s">
        <v>61</v>
      </c>
      <c r="D101" t="s">
        <v>14</v>
      </c>
      <c r="E101" t="s">
        <v>44</v>
      </c>
      <c r="F101" t="s">
        <v>28</v>
      </c>
      <c r="G101" t="s">
        <v>48</v>
      </c>
      <c r="H101" t="s">
        <v>29</v>
      </c>
      <c r="I101">
        <v>7</v>
      </c>
      <c r="J101">
        <v>195.33</v>
      </c>
      <c r="K101">
        <v>1367.31</v>
      </c>
      <c r="L101" t="s">
        <v>588</v>
      </c>
      <c r="M101" t="s">
        <v>586</v>
      </c>
    </row>
    <row r="102" spans="1:13" x14ac:dyDescent="0.35">
      <c r="A102" t="s">
        <v>473</v>
      </c>
      <c r="B102" t="s">
        <v>111</v>
      </c>
      <c r="C102" t="s">
        <v>66</v>
      </c>
      <c r="D102" t="s">
        <v>67</v>
      </c>
      <c r="E102" t="s">
        <v>39</v>
      </c>
      <c r="F102" t="s">
        <v>23</v>
      </c>
      <c r="G102" t="s">
        <v>48</v>
      </c>
      <c r="H102" t="s">
        <v>29</v>
      </c>
      <c r="I102">
        <v>1</v>
      </c>
      <c r="J102">
        <v>38.51</v>
      </c>
      <c r="K102">
        <v>38.51</v>
      </c>
      <c r="L102" t="s">
        <v>585</v>
      </c>
      <c r="M102" t="s">
        <v>587</v>
      </c>
    </row>
    <row r="103" spans="1:13" x14ac:dyDescent="0.35">
      <c r="A103" t="s">
        <v>471</v>
      </c>
      <c r="B103" t="s">
        <v>77</v>
      </c>
      <c r="C103" t="s">
        <v>27</v>
      </c>
      <c r="D103" t="s">
        <v>14</v>
      </c>
      <c r="E103" t="s">
        <v>63</v>
      </c>
      <c r="F103" t="s">
        <v>34</v>
      </c>
      <c r="G103" t="s">
        <v>24</v>
      </c>
      <c r="H103" t="s">
        <v>29</v>
      </c>
      <c r="I103">
        <v>1</v>
      </c>
      <c r="J103">
        <v>20.43</v>
      </c>
      <c r="K103">
        <v>20.43</v>
      </c>
      <c r="L103" t="s">
        <v>585</v>
      </c>
      <c r="M103" t="s">
        <v>587</v>
      </c>
    </row>
    <row r="104" spans="1:13" x14ac:dyDescent="0.35">
      <c r="A104" t="s">
        <v>173</v>
      </c>
      <c r="B104" t="s">
        <v>71</v>
      </c>
      <c r="C104" t="s">
        <v>66</v>
      </c>
      <c r="D104" t="s">
        <v>67</v>
      </c>
      <c r="E104" t="s">
        <v>63</v>
      </c>
      <c r="F104" t="s">
        <v>28</v>
      </c>
      <c r="G104" t="s">
        <v>17</v>
      </c>
      <c r="H104" t="s">
        <v>29</v>
      </c>
      <c r="I104">
        <v>8</v>
      </c>
      <c r="J104">
        <v>37.86</v>
      </c>
      <c r="K104">
        <v>302.88</v>
      </c>
      <c r="L104" t="s">
        <v>585</v>
      </c>
      <c r="M104" t="s">
        <v>586</v>
      </c>
    </row>
    <row r="105" spans="1:13" x14ac:dyDescent="0.35">
      <c r="A105" t="s">
        <v>470</v>
      </c>
      <c r="B105" t="s">
        <v>20</v>
      </c>
      <c r="C105" t="s">
        <v>32</v>
      </c>
      <c r="D105" t="s">
        <v>33</v>
      </c>
      <c r="E105" t="s">
        <v>44</v>
      </c>
      <c r="F105" t="s">
        <v>28</v>
      </c>
      <c r="G105" t="s">
        <v>48</v>
      </c>
      <c r="H105" t="s">
        <v>29</v>
      </c>
      <c r="I105">
        <v>3</v>
      </c>
      <c r="J105">
        <v>3.13</v>
      </c>
      <c r="K105">
        <v>9.39</v>
      </c>
      <c r="L105" t="s">
        <v>585</v>
      </c>
      <c r="M105" t="s">
        <v>587</v>
      </c>
    </row>
    <row r="106" spans="1:13" x14ac:dyDescent="0.35">
      <c r="A106" t="s">
        <v>468</v>
      </c>
      <c r="B106" t="s">
        <v>111</v>
      </c>
      <c r="C106" t="s">
        <v>32</v>
      </c>
      <c r="D106" t="s">
        <v>33</v>
      </c>
      <c r="E106" t="s">
        <v>44</v>
      </c>
      <c r="F106" t="s">
        <v>23</v>
      </c>
      <c r="G106" t="s">
        <v>45</v>
      </c>
      <c r="H106" t="s">
        <v>29</v>
      </c>
      <c r="I106">
        <v>8</v>
      </c>
      <c r="J106">
        <v>2.8</v>
      </c>
      <c r="K106">
        <v>22.4</v>
      </c>
      <c r="L106" t="s">
        <v>585</v>
      </c>
      <c r="M106" t="s">
        <v>586</v>
      </c>
    </row>
    <row r="107" spans="1:13" x14ac:dyDescent="0.35">
      <c r="A107" t="s">
        <v>176</v>
      </c>
      <c r="B107" t="s">
        <v>60</v>
      </c>
      <c r="C107" t="s">
        <v>38</v>
      </c>
      <c r="D107" t="s">
        <v>14</v>
      </c>
      <c r="E107" t="s">
        <v>44</v>
      </c>
      <c r="F107" t="s">
        <v>40</v>
      </c>
      <c r="G107" t="s">
        <v>35</v>
      </c>
      <c r="H107" t="s">
        <v>29</v>
      </c>
      <c r="I107">
        <v>9</v>
      </c>
      <c r="J107">
        <v>36.31</v>
      </c>
      <c r="K107">
        <v>326.79000000000002</v>
      </c>
      <c r="L107" t="s">
        <v>585</v>
      </c>
      <c r="M107" t="s">
        <v>586</v>
      </c>
    </row>
    <row r="108" spans="1:13" x14ac:dyDescent="0.35">
      <c r="A108" t="s">
        <v>465</v>
      </c>
      <c r="B108" t="s">
        <v>107</v>
      </c>
      <c r="C108" t="s">
        <v>38</v>
      </c>
      <c r="D108" t="s">
        <v>14</v>
      </c>
      <c r="E108" t="s">
        <v>63</v>
      </c>
      <c r="F108" t="s">
        <v>16</v>
      </c>
      <c r="G108" t="s">
        <v>45</v>
      </c>
      <c r="H108" t="s">
        <v>29</v>
      </c>
      <c r="I108">
        <v>1</v>
      </c>
      <c r="J108">
        <v>39.340000000000003</v>
      </c>
      <c r="K108">
        <v>39.340000000000003</v>
      </c>
      <c r="L108" t="s">
        <v>585</v>
      </c>
      <c r="M108" t="s">
        <v>587</v>
      </c>
    </row>
    <row r="109" spans="1:13" x14ac:dyDescent="0.35">
      <c r="A109" t="s">
        <v>463</v>
      </c>
      <c r="B109" t="s">
        <v>71</v>
      </c>
      <c r="C109" t="s">
        <v>32</v>
      </c>
      <c r="D109" t="s">
        <v>33</v>
      </c>
      <c r="E109" t="s">
        <v>39</v>
      </c>
      <c r="F109" t="s">
        <v>34</v>
      </c>
      <c r="G109" t="s">
        <v>74</v>
      </c>
      <c r="H109" t="s">
        <v>29</v>
      </c>
      <c r="I109">
        <v>8</v>
      </c>
      <c r="J109">
        <v>3.41</v>
      </c>
      <c r="K109">
        <v>27.28</v>
      </c>
      <c r="L109" t="s">
        <v>585</v>
      </c>
      <c r="M109" t="s">
        <v>586</v>
      </c>
    </row>
    <row r="110" spans="1:13" x14ac:dyDescent="0.35">
      <c r="A110" t="s">
        <v>179</v>
      </c>
      <c r="B110" t="s">
        <v>20</v>
      </c>
      <c r="C110" t="s">
        <v>43</v>
      </c>
      <c r="D110" t="s">
        <v>33</v>
      </c>
      <c r="E110" t="s">
        <v>44</v>
      </c>
      <c r="F110" t="s">
        <v>34</v>
      </c>
      <c r="G110" t="s">
        <v>35</v>
      </c>
      <c r="H110" t="s">
        <v>29</v>
      </c>
      <c r="I110">
        <v>9</v>
      </c>
      <c r="J110">
        <v>5.58</v>
      </c>
      <c r="K110">
        <v>50.22</v>
      </c>
      <c r="L110" t="s">
        <v>585</v>
      </c>
      <c r="M110" t="s">
        <v>586</v>
      </c>
    </row>
    <row r="111" spans="1:13" x14ac:dyDescent="0.35">
      <c r="A111" t="s">
        <v>180</v>
      </c>
      <c r="B111" t="s">
        <v>65</v>
      </c>
      <c r="C111" t="s">
        <v>13</v>
      </c>
      <c r="D111" t="s">
        <v>14</v>
      </c>
      <c r="E111" t="s">
        <v>44</v>
      </c>
      <c r="F111" t="s">
        <v>16</v>
      </c>
      <c r="G111" t="s">
        <v>48</v>
      </c>
      <c r="H111" t="s">
        <v>29</v>
      </c>
      <c r="I111">
        <v>7</v>
      </c>
      <c r="J111">
        <v>148.75</v>
      </c>
      <c r="K111">
        <v>1041.25</v>
      </c>
      <c r="L111" t="s">
        <v>588</v>
      </c>
      <c r="M111" t="s">
        <v>586</v>
      </c>
    </row>
    <row r="112" spans="1:13" x14ac:dyDescent="0.35">
      <c r="A112" t="s">
        <v>181</v>
      </c>
      <c r="B112" t="s">
        <v>65</v>
      </c>
      <c r="C112" t="s">
        <v>58</v>
      </c>
      <c r="D112" t="s">
        <v>22</v>
      </c>
      <c r="E112" t="s">
        <v>15</v>
      </c>
      <c r="F112" t="s">
        <v>34</v>
      </c>
      <c r="G112" t="s">
        <v>45</v>
      </c>
      <c r="H112" t="s">
        <v>29</v>
      </c>
      <c r="I112">
        <v>1</v>
      </c>
      <c r="J112">
        <v>108.64</v>
      </c>
      <c r="K112">
        <v>108.64</v>
      </c>
      <c r="L112" t="s">
        <v>585</v>
      </c>
      <c r="M112" t="s">
        <v>587</v>
      </c>
    </row>
    <row r="113" spans="1:13" x14ac:dyDescent="0.35">
      <c r="A113" t="s">
        <v>182</v>
      </c>
      <c r="B113" t="s">
        <v>84</v>
      </c>
      <c r="C113" t="s">
        <v>21</v>
      </c>
      <c r="D113" t="s">
        <v>22</v>
      </c>
      <c r="E113" t="s">
        <v>39</v>
      </c>
      <c r="F113" t="s">
        <v>34</v>
      </c>
      <c r="G113" t="s">
        <v>74</v>
      </c>
      <c r="H113" t="s">
        <v>29</v>
      </c>
      <c r="I113">
        <v>7</v>
      </c>
      <c r="J113">
        <v>265.57</v>
      </c>
      <c r="K113">
        <v>1858.99</v>
      </c>
      <c r="L113" t="s">
        <v>588</v>
      </c>
      <c r="M113" t="s">
        <v>586</v>
      </c>
    </row>
    <row r="114" spans="1:13" x14ac:dyDescent="0.35">
      <c r="A114" t="s">
        <v>462</v>
      </c>
      <c r="B114" t="s">
        <v>111</v>
      </c>
      <c r="C114" t="s">
        <v>21</v>
      </c>
      <c r="D114" t="s">
        <v>22</v>
      </c>
      <c r="E114" t="s">
        <v>44</v>
      </c>
      <c r="F114" t="s">
        <v>47</v>
      </c>
      <c r="G114" t="s">
        <v>48</v>
      </c>
      <c r="H114" t="s">
        <v>29</v>
      </c>
      <c r="I114">
        <v>9</v>
      </c>
      <c r="J114">
        <v>225.47</v>
      </c>
      <c r="K114">
        <v>2029.23</v>
      </c>
      <c r="L114" t="s">
        <v>588</v>
      </c>
      <c r="M114" t="s">
        <v>586</v>
      </c>
    </row>
    <row r="115" spans="1:13" x14ac:dyDescent="0.35">
      <c r="A115" t="s">
        <v>184</v>
      </c>
      <c r="B115" t="s">
        <v>73</v>
      </c>
      <c r="C115" t="s">
        <v>66</v>
      </c>
      <c r="D115" t="s">
        <v>67</v>
      </c>
      <c r="E115" t="s">
        <v>44</v>
      </c>
      <c r="F115" t="s">
        <v>40</v>
      </c>
      <c r="G115" t="s">
        <v>35</v>
      </c>
      <c r="H115" t="s">
        <v>29</v>
      </c>
      <c r="I115">
        <v>8</v>
      </c>
      <c r="J115">
        <v>42.26</v>
      </c>
      <c r="K115">
        <v>338.08</v>
      </c>
      <c r="L115" t="s">
        <v>585</v>
      </c>
      <c r="M115" t="s">
        <v>586</v>
      </c>
    </row>
    <row r="116" spans="1:13" x14ac:dyDescent="0.35">
      <c r="A116" t="s">
        <v>185</v>
      </c>
      <c r="B116" t="s">
        <v>26</v>
      </c>
      <c r="C116" t="s">
        <v>58</v>
      </c>
      <c r="D116" t="s">
        <v>22</v>
      </c>
      <c r="E116" t="s">
        <v>15</v>
      </c>
      <c r="F116" t="s">
        <v>28</v>
      </c>
      <c r="G116" t="s">
        <v>74</v>
      </c>
      <c r="H116" t="s">
        <v>29</v>
      </c>
      <c r="I116">
        <v>4</v>
      </c>
      <c r="J116">
        <v>135.58000000000001</v>
      </c>
      <c r="K116">
        <v>542.32000000000005</v>
      </c>
      <c r="L116" t="s">
        <v>585</v>
      </c>
      <c r="M116" t="s">
        <v>587</v>
      </c>
    </row>
    <row r="117" spans="1:13" x14ac:dyDescent="0.35">
      <c r="A117" t="s">
        <v>186</v>
      </c>
      <c r="B117" t="s">
        <v>26</v>
      </c>
      <c r="C117" t="s">
        <v>13</v>
      </c>
      <c r="D117" t="s">
        <v>14</v>
      </c>
      <c r="E117" t="s">
        <v>15</v>
      </c>
      <c r="F117" t="s">
        <v>47</v>
      </c>
      <c r="G117" t="s">
        <v>45</v>
      </c>
      <c r="H117" t="s">
        <v>29</v>
      </c>
      <c r="I117">
        <v>2</v>
      </c>
      <c r="J117">
        <v>160.33000000000001</v>
      </c>
      <c r="K117">
        <v>320.66000000000003</v>
      </c>
      <c r="L117" t="s">
        <v>585</v>
      </c>
      <c r="M117" t="s">
        <v>587</v>
      </c>
    </row>
    <row r="118" spans="1:13" x14ac:dyDescent="0.35">
      <c r="A118" t="s">
        <v>461</v>
      </c>
      <c r="B118" t="s">
        <v>26</v>
      </c>
      <c r="C118" t="s">
        <v>43</v>
      </c>
      <c r="D118" t="s">
        <v>33</v>
      </c>
      <c r="E118" t="s">
        <v>15</v>
      </c>
      <c r="F118" t="s">
        <v>34</v>
      </c>
      <c r="G118" t="s">
        <v>45</v>
      </c>
      <c r="H118" t="s">
        <v>29</v>
      </c>
      <c r="I118">
        <v>7</v>
      </c>
      <c r="J118">
        <v>4.9000000000000004</v>
      </c>
      <c r="K118">
        <v>34.299999999999997</v>
      </c>
      <c r="L118" t="s">
        <v>585</v>
      </c>
      <c r="M118" t="s">
        <v>586</v>
      </c>
    </row>
    <row r="119" spans="1:13" x14ac:dyDescent="0.35">
      <c r="A119" t="s">
        <v>460</v>
      </c>
      <c r="B119" t="s">
        <v>84</v>
      </c>
      <c r="C119" t="s">
        <v>61</v>
      </c>
      <c r="D119" t="s">
        <v>14</v>
      </c>
      <c r="E119" t="s">
        <v>15</v>
      </c>
      <c r="F119" t="s">
        <v>47</v>
      </c>
      <c r="G119" t="s">
        <v>35</v>
      </c>
      <c r="H119" t="s">
        <v>29</v>
      </c>
      <c r="I119">
        <v>1</v>
      </c>
      <c r="J119">
        <v>194.04</v>
      </c>
      <c r="K119">
        <v>194.04</v>
      </c>
      <c r="L119" t="s">
        <v>585</v>
      </c>
      <c r="M119" t="s">
        <v>587</v>
      </c>
    </row>
    <row r="120" spans="1:13" x14ac:dyDescent="0.35">
      <c r="A120" t="s">
        <v>459</v>
      </c>
      <c r="B120" t="s">
        <v>71</v>
      </c>
      <c r="C120" t="s">
        <v>32</v>
      </c>
      <c r="D120" t="s">
        <v>33</v>
      </c>
      <c r="E120" t="s">
        <v>15</v>
      </c>
      <c r="F120" t="s">
        <v>28</v>
      </c>
      <c r="G120" t="s">
        <v>24</v>
      </c>
      <c r="H120" t="s">
        <v>29</v>
      </c>
      <c r="I120">
        <v>3</v>
      </c>
      <c r="J120">
        <v>3.18</v>
      </c>
      <c r="K120">
        <v>9.5399999999999991</v>
      </c>
      <c r="L120" t="s">
        <v>585</v>
      </c>
      <c r="M120" t="s">
        <v>587</v>
      </c>
    </row>
    <row r="121" spans="1:13" x14ac:dyDescent="0.35">
      <c r="A121" t="s">
        <v>190</v>
      </c>
      <c r="B121" t="s">
        <v>88</v>
      </c>
      <c r="C121" t="s">
        <v>21</v>
      </c>
      <c r="D121" t="s">
        <v>22</v>
      </c>
      <c r="E121" t="s">
        <v>39</v>
      </c>
      <c r="F121" t="s">
        <v>23</v>
      </c>
      <c r="G121" t="s">
        <v>24</v>
      </c>
      <c r="H121" t="s">
        <v>29</v>
      </c>
      <c r="I121">
        <v>6</v>
      </c>
      <c r="J121">
        <v>273.14999999999998</v>
      </c>
      <c r="K121">
        <v>1638.9</v>
      </c>
      <c r="L121" t="s">
        <v>588</v>
      </c>
      <c r="M121" t="s">
        <v>586</v>
      </c>
    </row>
    <row r="122" spans="1:13" x14ac:dyDescent="0.35">
      <c r="A122" t="s">
        <v>191</v>
      </c>
      <c r="B122" t="s">
        <v>57</v>
      </c>
      <c r="C122" t="s">
        <v>32</v>
      </c>
      <c r="D122" t="s">
        <v>33</v>
      </c>
      <c r="E122" t="s">
        <v>39</v>
      </c>
      <c r="F122" t="s">
        <v>16</v>
      </c>
      <c r="G122" t="s">
        <v>17</v>
      </c>
      <c r="H122" t="s">
        <v>29</v>
      </c>
      <c r="I122">
        <v>4</v>
      </c>
      <c r="J122">
        <v>3.21</v>
      </c>
      <c r="K122">
        <v>12.84</v>
      </c>
      <c r="L122" t="s">
        <v>585</v>
      </c>
      <c r="M122" t="s">
        <v>587</v>
      </c>
    </row>
    <row r="123" spans="1:13" x14ac:dyDescent="0.35">
      <c r="A123" t="s">
        <v>192</v>
      </c>
      <c r="B123" t="s">
        <v>12</v>
      </c>
      <c r="C123" t="s">
        <v>27</v>
      </c>
      <c r="D123" t="s">
        <v>14</v>
      </c>
      <c r="E123" t="s">
        <v>63</v>
      </c>
      <c r="F123" t="s">
        <v>16</v>
      </c>
      <c r="G123" t="s">
        <v>45</v>
      </c>
      <c r="H123" t="s">
        <v>29</v>
      </c>
      <c r="I123">
        <v>10</v>
      </c>
      <c r="J123">
        <v>23.94</v>
      </c>
      <c r="K123">
        <v>239.4</v>
      </c>
      <c r="L123" t="s">
        <v>585</v>
      </c>
      <c r="M123" t="s">
        <v>586</v>
      </c>
    </row>
    <row r="124" spans="1:13" x14ac:dyDescent="0.35">
      <c r="A124" t="s">
        <v>458</v>
      </c>
      <c r="B124" t="s">
        <v>31</v>
      </c>
      <c r="C124" t="s">
        <v>61</v>
      </c>
      <c r="D124" t="s">
        <v>14</v>
      </c>
      <c r="E124" t="s">
        <v>39</v>
      </c>
      <c r="F124" t="s">
        <v>40</v>
      </c>
      <c r="G124" t="s">
        <v>35</v>
      </c>
      <c r="H124" t="s">
        <v>29</v>
      </c>
      <c r="I124">
        <v>2</v>
      </c>
      <c r="J124">
        <v>177.31</v>
      </c>
      <c r="K124">
        <v>354.62</v>
      </c>
      <c r="L124" t="s">
        <v>585</v>
      </c>
      <c r="M124" t="s">
        <v>587</v>
      </c>
    </row>
    <row r="125" spans="1:13" x14ac:dyDescent="0.35">
      <c r="A125" t="s">
        <v>194</v>
      </c>
      <c r="B125" t="s">
        <v>26</v>
      </c>
      <c r="C125" t="s">
        <v>61</v>
      </c>
      <c r="D125" t="s">
        <v>14</v>
      </c>
      <c r="E125" t="s">
        <v>44</v>
      </c>
      <c r="F125" t="s">
        <v>28</v>
      </c>
      <c r="G125" t="s">
        <v>17</v>
      </c>
      <c r="H125" t="s">
        <v>29</v>
      </c>
      <c r="I125">
        <v>2</v>
      </c>
      <c r="J125">
        <v>200.46</v>
      </c>
      <c r="K125">
        <v>400.92</v>
      </c>
      <c r="L125" t="s">
        <v>585</v>
      </c>
      <c r="M125" t="s">
        <v>587</v>
      </c>
    </row>
    <row r="126" spans="1:13" x14ac:dyDescent="0.35">
      <c r="A126" t="s">
        <v>195</v>
      </c>
      <c r="B126" t="s">
        <v>88</v>
      </c>
      <c r="C126" t="s">
        <v>58</v>
      </c>
      <c r="D126" t="s">
        <v>22</v>
      </c>
      <c r="E126" t="s">
        <v>63</v>
      </c>
      <c r="F126" t="s">
        <v>16</v>
      </c>
      <c r="G126" t="s">
        <v>24</v>
      </c>
      <c r="H126" t="s">
        <v>29</v>
      </c>
      <c r="I126">
        <v>2</v>
      </c>
      <c r="J126">
        <v>110.97</v>
      </c>
      <c r="K126">
        <v>221.94</v>
      </c>
      <c r="L126" t="s">
        <v>585</v>
      </c>
      <c r="M126" t="s">
        <v>587</v>
      </c>
    </row>
    <row r="127" spans="1:13" x14ac:dyDescent="0.35">
      <c r="A127" t="s">
        <v>196</v>
      </c>
      <c r="B127" t="s">
        <v>107</v>
      </c>
      <c r="C127" t="s">
        <v>55</v>
      </c>
      <c r="D127" t="s">
        <v>14</v>
      </c>
      <c r="E127" t="s">
        <v>39</v>
      </c>
      <c r="F127" t="s">
        <v>40</v>
      </c>
      <c r="G127" t="s">
        <v>45</v>
      </c>
      <c r="H127" t="s">
        <v>29</v>
      </c>
      <c r="I127">
        <v>2</v>
      </c>
      <c r="J127">
        <v>753.05</v>
      </c>
      <c r="K127">
        <v>1506.1</v>
      </c>
      <c r="L127" t="s">
        <v>588</v>
      </c>
      <c r="M127" t="s">
        <v>587</v>
      </c>
    </row>
    <row r="128" spans="1:13" x14ac:dyDescent="0.35">
      <c r="A128" t="s">
        <v>457</v>
      </c>
      <c r="B128" t="s">
        <v>69</v>
      </c>
      <c r="C128" t="s">
        <v>55</v>
      </c>
      <c r="D128" t="s">
        <v>14</v>
      </c>
      <c r="E128" t="s">
        <v>15</v>
      </c>
      <c r="F128" t="s">
        <v>47</v>
      </c>
      <c r="G128" t="s">
        <v>35</v>
      </c>
      <c r="H128" t="s">
        <v>29</v>
      </c>
      <c r="I128">
        <v>1</v>
      </c>
      <c r="J128">
        <v>676.03</v>
      </c>
      <c r="K128">
        <v>676.03</v>
      </c>
      <c r="L128" t="s">
        <v>585</v>
      </c>
      <c r="M128" t="s">
        <v>587</v>
      </c>
    </row>
    <row r="129" spans="1:13" x14ac:dyDescent="0.35">
      <c r="A129" t="s">
        <v>198</v>
      </c>
      <c r="B129" t="s">
        <v>12</v>
      </c>
      <c r="C129" t="s">
        <v>13</v>
      </c>
      <c r="D129" t="s">
        <v>14</v>
      </c>
      <c r="E129" t="s">
        <v>15</v>
      </c>
      <c r="F129" t="s">
        <v>28</v>
      </c>
      <c r="G129" t="s">
        <v>35</v>
      </c>
      <c r="H129" t="s">
        <v>29</v>
      </c>
      <c r="I129">
        <v>7</v>
      </c>
      <c r="J129">
        <v>165.65</v>
      </c>
      <c r="K129">
        <v>1159.55</v>
      </c>
      <c r="L129" t="s">
        <v>588</v>
      </c>
      <c r="M129" t="s">
        <v>586</v>
      </c>
    </row>
    <row r="130" spans="1:13" x14ac:dyDescent="0.35">
      <c r="A130" t="s">
        <v>456</v>
      </c>
      <c r="B130" t="s">
        <v>60</v>
      </c>
      <c r="C130" t="s">
        <v>43</v>
      </c>
      <c r="D130" t="s">
        <v>33</v>
      </c>
      <c r="E130" t="s">
        <v>63</v>
      </c>
      <c r="F130" t="s">
        <v>16</v>
      </c>
      <c r="G130" t="s">
        <v>24</v>
      </c>
      <c r="H130" t="s">
        <v>29</v>
      </c>
      <c r="I130">
        <v>5</v>
      </c>
      <c r="J130">
        <v>5.46</v>
      </c>
      <c r="K130">
        <v>27.3</v>
      </c>
      <c r="L130" t="s">
        <v>585</v>
      </c>
      <c r="M130" t="s">
        <v>586</v>
      </c>
    </row>
    <row r="131" spans="1:13" x14ac:dyDescent="0.35">
      <c r="A131" t="s">
        <v>455</v>
      </c>
      <c r="B131" t="s">
        <v>20</v>
      </c>
      <c r="C131" t="s">
        <v>61</v>
      </c>
      <c r="D131" t="s">
        <v>14</v>
      </c>
      <c r="E131" t="s">
        <v>39</v>
      </c>
      <c r="F131" t="s">
        <v>28</v>
      </c>
      <c r="G131" t="s">
        <v>35</v>
      </c>
      <c r="H131" t="s">
        <v>29</v>
      </c>
      <c r="I131">
        <v>8</v>
      </c>
      <c r="J131">
        <v>187.01</v>
      </c>
      <c r="K131">
        <v>1496.08</v>
      </c>
      <c r="L131" t="s">
        <v>588</v>
      </c>
      <c r="M131" t="s">
        <v>586</v>
      </c>
    </row>
    <row r="132" spans="1:13" x14ac:dyDescent="0.35">
      <c r="A132" t="s">
        <v>452</v>
      </c>
      <c r="B132" t="s">
        <v>31</v>
      </c>
      <c r="C132" t="s">
        <v>32</v>
      </c>
      <c r="D132" t="s">
        <v>33</v>
      </c>
      <c r="E132" t="s">
        <v>39</v>
      </c>
      <c r="F132" t="s">
        <v>34</v>
      </c>
      <c r="G132" t="s">
        <v>24</v>
      </c>
      <c r="H132" t="s">
        <v>29</v>
      </c>
      <c r="I132">
        <v>3</v>
      </c>
      <c r="J132">
        <v>2.85</v>
      </c>
      <c r="K132">
        <v>8.5500000000000007</v>
      </c>
      <c r="L132" t="s">
        <v>585</v>
      </c>
      <c r="M132" t="s">
        <v>587</v>
      </c>
    </row>
    <row r="133" spans="1:13" x14ac:dyDescent="0.35">
      <c r="A133" t="s">
        <v>449</v>
      </c>
      <c r="B133" t="s">
        <v>102</v>
      </c>
      <c r="C133" t="s">
        <v>21</v>
      </c>
      <c r="D133" t="s">
        <v>22</v>
      </c>
      <c r="E133" t="s">
        <v>44</v>
      </c>
      <c r="F133" t="s">
        <v>16</v>
      </c>
      <c r="G133" t="s">
        <v>45</v>
      </c>
      <c r="H133" t="s">
        <v>29</v>
      </c>
      <c r="I133">
        <v>3</v>
      </c>
      <c r="J133">
        <v>290.48</v>
      </c>
      <c r="K133">
        <v>871.44</v>
      </c>
      <c r="L133" t="s">
        <v>585</v>
      </c>
      <c r="M133" t="s">
        <v>587</v>
      </c>
    </row>
    <row r="134" spans="1:13" x14ac:dyDescent="0.35">
      <c r="A134" t="s">
        <v>203</v>
      </c>
      <c r="B134" t="s">
        <v>77</v>
      </c>
      <c r="C134" t="s">
        <v>58</v>
      </c>
      <c r="D134" t="s">
        <v>22</v>
      </c>
      <c r="E134" t="s">
        <v>44</v>
      </c>
      <c r="F134" t="s">
        <v>34</v>
      </c>
      <c r="G134" t="s">
        <v>35</v>
      </c>
      <c r="H134" t="s">
        <v>29</v>
      </c>
      <c r="I134">
        <v>3</v>
      </c>
      <c r="J134">
        <v>114.75</v>
      </c>
      <c r="K134">
        <v>344.25</v>
      </c>
      <c r="L134" t="s">
        <v>585</v>
      </c>
      <c r="M134" t="s">
        <v>587</v>
      </c>
    </row>
    <row r="135" spans="1:13" x14ac:dyDescent="0.35">
      <c r="A135" t="s">
        <v>448</v>
      </c>
      <c r="B135" t="s">
        <v>71</v>
      </c>
      <c r="C135" t="s">
        <v>58</v>
      </c>
      <c r="D135" t="s">
        <v>22</v>
      </c>
      <c r="E135" t="s">
        <v>39</v>
      </c>
      <c r="F135" t="s">
        <v>47</v>
      </c>
      <c r="G135" t="s">
        <v>48</v>
      </c>
      <c r="H135" t="s">
        <v>29</v>
      </c>
      <c r="I135">
        <v>9</v>
      </c>
      <c r="J135">
        <v>119.52</v>
      </c>
      <c r="K135">
        <v>1075.68</v>
      </c>
      <c r="L135" t="s">
        <v>588</v>
      </c>
      <c r="M135" t="s">
        <v>586</v>
      </c>
    </row>
    <row r="136" spans="1:13" x14ac:dyDescent="0.35">
      <c r="A136" t="s">
        <v>205</v>
      </c>
      <c r="B136" t="s">
        <v>107</v>
      </c>
      <c r="C136" t="s">
        <v>58</v>
      </c>
      <c r="D136" t="s">
        <v>22</v>
      </c>
      <c r="E136" t="s">
        <v>63</v>
      </c>
      <c r="F136" t="s">
        <v>16</v>
      </c>
      <c r="G136" t="s">
        <v>45</v>
      </c>
      <c r="H136" t="s">
        <v>29</v>
      </c>
      <c r="I136">
        <v>3</v>
      </c>
      <c r="J136">
        <v>117.31</v>
      </c>
      <c r="K136">
        <v>351.93</v>
      </c>
      <c r="L136" t="s">
        <v>585</v>
      </c>
      <c r="M136" t="s">
        <v>587</v>
      </c>
    </row>
    <row r="137" spans="1:13" x14ac:dyDescent="0.35">
      <c r="A137" t="s">
        <v>447</v>
      </c>
      <c r="B137" t="s">
        <v>69</v>
      </c>
      <c r="C137" t="s">
        <v>43</v>
      </c>
      <c r="D137" t="s">
        <v>33</v>
      </c>
      <c r="E137" t="s">
        <v>39</v>
      </c>
      <c r="F137" t="s">
        <v>23</v>
      </c>
      <c r="G137" t="s">
        <v>48</v>
      </c>
      <c r="H137" t="s">
        <v>29</v>
      </c>
      <c r="I137">
        <v>2</v>
      </c>
      <c r="J137">
        <v>4.67</v>
      </c>
      <c r="K137">
        <v>9.34</v>
      </c>
      <c r="L137" t="s">
        <v>585</v>
      </c>
      <c r="M137" t="s">
        <v>587</v>
      </c>
    </row>
    <row r="138" spans="1:13" x14ac:dyDescent="0.35">
      <c r="A138" t="s">
        <v>445</v>
      </c>
      <c r="B138" t="s">
        <v>37</v>
      </c>
      <c r="C138" t="s">
        <v>13</v>
      </c>
      <c r="D138" t="s">
        <v>14</v>
      </c>
      <c r="E138" t="s">
        <v>39</v>
      </c>
      <c r="F138" t="s">
        <v>40</v>
      </c>
      <c r="G138" t="s">
        <v>24</v>
      </c>
      <c r="H138" t="s">
        <v>29</v>
      </c>
      <c r="I138">
        <v>10</v>
      </c>
      <c r="J138">
        <v>163.01</v>
      </c>
      <c r="K138">
        <v>1630.1</v>
      </c>
      <c r="L138" t="s">
        <v>588</v>
      </c>
      <c r="M138" t="s">
        <v>586</v>
      </c>
    </row>
    <row r="139" spans="1:13" x14ac:dyDescent="0.35">
      <c r="A139" t="s">
        <v>208</v>
      </c>
      <c r="B139" t="s">
        <v>107</v>
      </c>
      <c r="C139" t="s">
        <v>27</v>
      </c>
      <c r="D139" t="s">
        <v>14</v>
      </c>
      <c r="E139" t="s">
        <v>15</v>
      </c>
      <c r="F139" t="s">
        <v>16</v>
      </c>
      <c r="G139" t="s">
        <v>48</v>
      </c>
      <c r="H139" t="s">
        <v>29</v>
      </c>
      <c r="I139">
        <v>4</v>
      </c>
      <c r="J139">
        <v>23.54</v>
      </c>
      <c r="K139">
        <v>94.16</v>
      </c>
      <c r="L139" t="s">
        <v>585</v>
      </c>
      <c r="M139" t="s">
        <v>587</v>
      </c>
    </row>
    <row r="140" spans="1:13" x14ac:dyDescent="0.35">
      <c r="A140" t="s">
        <v>444</v>
      </c>
      <c r="B140" t="s">
        <v>50</v>
      </c>
      <c r="C140" t="s">
        <v>58</v>
      </c>
      <c r="D140" t="s">
        <v>22</v>
      </c>
      <c r="E140" t="s">
        <v>63</v>
      </c>
      <c r="F140" t="s">
        <v>28</v>
      </c>
      <c r="G140" t="s">
        <v>24</v>
      </c>
      <c r="H140" t="s">
        <v>29</v>
      </c>
      <c r="I140">
        <v>5</v>
      </c>
      <c r="J140">
        <v>122.62</v>
      </c>
      <c r="K140">
        <v>613.1</v>
      </c>
      <c r="L140" t="s">
        <v>585</v>
      </c>
      <c r="M140" t="s">
        <v>586</v>
      </c>
    </row>
    <row r="141" spans="1:13" x14ac:dyDescent="0.35">
      <c r="A141" t="s">
        <v>210</v>
      </c>
      <c r="B141" t="s">
        <v>77</v>
      </c>
      <c r="C141" t="s">
        <v>61</v>
      </c>
      <c r="D141" t="s">
        <v>14</v>
      </c>
      <c r="E141" t="s">
        <v>44</v>
      </c>
      <c r="F141" t="s">
        <v>16</v>
      </c>
      <c r="G141" t="s">
        <v>45</v>
      </c>
      <c r="H141" t="s">
        <v>29</v>
      </c>
      <c r="I141">
        <v>10</v>
      </c>
      <c r="J141">
        <v>213.37</v>
      </c>
      <c r="K141">
        <v>2133.6999999999998</v>
      </c>
      <c r="L141" t="s">
        <v>588</v>
      </c>
      <c r="M141" t="s">
        <v>586</v>
      </c>
    </row>
    <row r="142" spans="1:13" x14ac:dyDescent="0.35">
      <c r="A142" t="s">
        <v>211</v>
      </c>
      <c r="B142" t="s">
        <v>26</v>
      </c>
      <c r="C142" t="s">
        <v>38</v>
      </c>
      <c r="D142" t="s">
        <v>14</v>
      </c>
      <c r="E142" t="s">
        <v>15</v>
      </c>
      <c r="F142" t="s">
        <v>40</v>
      </c>
      <c r="G142" t="s">
        <v>24</v>
      </c>
      <c r="H142" t="s">
        <v>29</v>
      </c>
      <c r="I142">
        <v>9</v>
      </c>
      <c r="J142">
        <v>35.78</v>
      </c>
      <c r="K142">
        <v>322.02</v>
      </c>
      <c r="L142" t="s">
        <v>585</v>
      </c>
      <c r="M142" t="s">
        <v>586</v>
      </c>
    </row>
    <row r="143" spans="1:13" x14ac:dyDescent="0.35">
      <c r="A143" t="s">
        <v>212</v>
      </c>
      <c r="B143" t="s">
        <v>52</v>
      </c>
      <c r="C143" t="s">
        <v>27</v>
      </c>
      <c r="D143" t="s">
        <v>14</v>
      </c>
      <c r="E143" t="s">
        <v>44</v>
      </c>
      <c r="F143" t="s">
        <v>40</v>
      </c>
      <c r="G143" t="s">
        <v>24</v>
      </c>
      <c r="H143" t="s">
        <v>29</v>
      </c>
      <c r="I143">
        <v>7</v>
      </c>
      <c r="J143">
        <v>21.6</v>
      </c>
      <c r="K143">
        <v>151.19999999999999</v>
      </c>
      <c r="L143" t="s">
        <v>585</v>
      </c>
      <c r="M143" t="s">
        <v>586</v>
      </c>
    </row>
    <row r="144" spans="1:13" x14ac:dyDescent="0.35">
      <c r="A144" t="s">
        <v>443</v>
      </c>
      <c r="B144" t="s">
        <v>71</v>
      </c>
      <c r="C144" t="s">
        <v>43</v>
      </c>
      <c r="D144" t="s">
        <v>33</v>
      </c>
      <c r="E144" t="s">
        <v>39</v>
      </c>
      <c r="F144" t="s">
        <v>47</v>
      </c>
      <c r="G144" t="s">
        <v>74</v>
      </c>
      <c r="H144" t="s">
        <v>29</v>
      </c>
      <c r="I144">
        <v>4</v>
      </c>
      <c r="J144">
        <v>4.5599999999999996</v>
      </c>
      <c r="K144">
        <v>18.239999999999998</v>
      </c>
      <c r="L144" t="s">
        <v>585</v>
      </c>
      <c r="M144" t="s">
        <v>587</v>
      </c>
    </row>
    <row r="145" spans="1:13" x14ac:dyDescent="0.35">
      <c r="A145" t="s">
        <v>438</v>
      </c>
      <c r="B145" t="s">
        <v>90</v>
      </c>
      <c r="C145" t="s">
        <v>43</v>
      </c>
      <c r="D145" t="s">
        <v>33</v>
      </c>
      <c r="E145" t="s">
        <v>63</v>
      </c>
      <c r="F145" t="s">
        <v>40</v>
      </c>
      <c r="G145" t="s">
        <v>48</v>
      </c>
      <c r="H145" t="s">
        <v>29</v>
      </c>
      <c r="I145">
        <v>3</v>
      </c>
      <c r="J145">
        <v>5.46</v>
      </c>
      <c r="K145">
        <v>16.38</v>
      </c>
      <c r="L145" t="s">
        <v>585</v>
      </c>
      <c r="M145" t="s">
        <v>587</v>
      </c>
    </row>
    <row r="146" spans="1:13" x14ac:dyDescent="0.35">
      <c r="A146" t="s">
        <v>437</v>
      </c>
      <c r="B146" t="s">
        <v>69</v>
      </c>
      <c r="C146" t="s">
        <v>66</v>
      </c>
      <c r="D146" t="s">
        <v>67</v>
      </c>
      <c r="E146" t="s">
        <v>63</v>
      </c>
      <c r="F146" t="s">
        <v>16</v>
      </c>
      <c r="G146" t="s">
        <v>74</v>
      </c>
      <c r="H146" t="s">
        <v>29</v>
      </c>
      <c r="I146">
        <v>9</v>
      </c>
      <c r="J146">
        <v>47.02</v>
      </c>
      <c r="K146">
        <v>423.18</v>
      </c>
      <c r="L146" t="s">
        <v>585</v>
      </c>
      <c r="M146" t="s">
        <v>586</v>
      </c>
    </row>
    <row r="147" spans="1:13" x14ac:dyDescent="0.35">
      <c r="A147" t="s">
        <v>216</v>
      </c>
      <c r="B147" t="s">
        <v>26</v>
      </c>
      <c r="C147" t="s">
        <v>21</v>
      </c>
      <c r="D147" t="s">
        <v>22</v>
      </c>
      <c r="E147" t="s">
        <v>15</v>
      </c>
      <c r="F147" t="s">
        <v>23</v>
      </c>
      <c r="G147" t="s">
        <v>74</v>
      </c>
      <c r="H147" t="s">
        <v>29</v>
      </c>
      <c r="I147">
        <v>4</v>
      </c>
      <c r="J147">
        <v>244.32</v>
      </c>
      <c r="K147">
        <v>977.28</v>
      </c>
      <c r="L147" t="s">
        <v>585</v>
      </c>
      <c r="M147" t="s">
        <v>587</v>
      </c>
    </row>
    <row r="148" spans="1:13" x14ac:dyDescent="0.35">
      <c r="A148" t="s">
        <v>217</v>
      </c>
      <c r="B148" t="s">
        <v>94</v>
      </c>
      <c r="C148" t="s">
        <v>21</v>
      </c>
      <c r="D148" t="s">
        <v>22</v>
      </c>
      <c r="E148" t="s">
        <v>39</v>
      </c>
      <c r="F148" t="s">
        <v>40</v>
      </c>
      <c r="G148" t="s">
        <v>24</v>
      </c>
      <c r="H148" t="s">
        <v>29</v>
      </c>
      <c r="I148">
        <v>8</v>
      </c>
      <c r="J148">
        <v>235.02</v>
      </c>
      <c r="K148">
        <v>1880.16</v>
      </c>
      <c r="L148" t="s">
        <v>588</v>
      </c>
      <c r="M148" t="s">
        <v>586</v>
      </c>
    </row>
    <row r="149" spans="1:13" x14ac:dyDescent="0.35">
      <c r="A149" t="s">
        <v>432</v>
      </c>
      <c r="B149" t="s">
        <v>57</v>
      </c>
      <c r="C149" t="s">
        <v>66</v>
      </c>
      <c r="D149" t="s">
        <v>67</v>
      </c>
      <c r="E149" t="s">
        <v>39</v>
      </c>
      <c r="F149" t="s">
        <v>23</v>
      </c>
      <c r="G149" t="s">
        <v>35</v>
      </c>
      <c r="H149" t="s">
        <v>29</v>
      </c>
      <c r="I149">
        <v>8</v>
      </c>
      <c r="J149">
        <v>45.95</v>
      </c>
      <c r="K149">
        <v>367.6</v>
      </c>
      <c r="L149" t="s">
        <v>585</v>
      </c>
      <c r="M149" t="s">
        <v>586</v>
      </c>
    </row>
    <row r="150" spans="1:13" x14ac:dyDescent="0.35">
      <c r="A150" t="s">
        <v>219</v>
      </c>
      <c r="B150" t="s">
        <v>12</v>
      </c>
      <c r="C150" t="s">
        <v>27</v>
      </c>
      <c r="D150" t="s">
        <v>14</v>
      </c>
      <c r="E150" t="s">
        <v>39</v>
      </c>
      <c r="F150" t="s">
        <v>16</v>
      </c>
      <c r="G150" t="s">
        <v>17</v>
      </c>
      <c r="H150" t="s">
        <v>29</v>
      </c>
      <c r="I150">
        <v>1</v>
      </c>
      <c r="J150">
        <v>21.01</v>
      </c>
      <c r="K150">
        <v>21.01</v>
      </c>
      <c r="L150" t="s">
        <v>585</v>
      </c>
      <c r="M150" t="s">
        <v>587</v>
      </c>
    </row>
    <row r="151" spans="1:13" x14ac:dyDescent="0.35">
      <c r="A151" t="s">
        <v>431</v>
      </c>
      <c r="B151" t="s">
        <v>128</v>
      </c>
      <c r="C151" t="s">
        <v>27</v>
      </c>
      <c r="D151" t="s">
        <v>14</v>
      </c>
      <c r="E151" t="s">
        <v>39</v>
      </c>
      <c r="F151" t="s">
        <v>23</v>
      </c>
      <c r="G151" t="s">
        <v>74</v>
      </c>
      <c r="H151" t="s">
        <v>29</v>
      </c>
      <c r="I151">
        <v>9</v>
      </c>
      <c r="J151">
        <v>19.5</v>
      </c>
      <c r="K151">
        <v>175.5</v>
      </c>
      <c r="L151" t="s">
        <v>585</v>
      </c>
      <c r="M151" t="s">
        <v>586</v>
      </c>
    </row>
    <row r="152" spans="1:13" x14ac:dyDescent="0.35">
      <c r="A152" t="s">
        <v>221</v>
      </c>
      <c r="B152" t="s">
        <v>111</v>
      </c>
      <c r="C152" t="s">
        <v>55</v>
      </c>
      <c r="D152" t="s">
        <v>14</v>
      </c>
      <c r="E152" t="s">
        <v>63</v>
      </c>
      <c r="F152" t="s">
        <v>23</v>
      </c>
      <c r="G152" t="s">
        <v>48</v>
      </c>
      <c r="H152" t="s">
        <v>29</v>
      </c>
      <c r="I152">
        <v>2</v>
      </c>
      <c r="J152">
        <v>645.79</v>
      </c>
      <c r="K152">
        <v>1291.58</v>
      </c>
      <c r="L152" t="s">
        <v>588</v>
      </c>
      <c r="M152" t="s">
        <v>587</v>
      </c>
    </row>
    <row r="153" spans="1:13" x14ac:dyDescent="0.35">
      <c r="A153" t="s">
        <v>222</v>
      </c>
      <c r="B153" t="s">
        <v>71</v>
      </c>
      <c r="C153" t="s">
        <v>13</v>
      </c>
      <c r="D153" t="s">
        <v>14</v>
      </c>
      <c r="E153" t="s">
        <v>44</v>
      </c>
      <c r="F153" t="s">
        <v>23</v>
      </c>
      <c r="G153" t="s">
        <v>48</v>
      </c>
      <c r="H153" t="s">
        <v>29</v>
      </c>
      <c r="I153">
        <v>1</v>
      </c>
      <c r="J153">
        <v>141.41</v>
      </c>
      <c r="K153">
        <v>141.41</v>
      </c>
      <c r="L153" t="s">
        <v>585</v>
      </c>
      <c r="M153" t="s">
        <v>587</v>
      </c>
    </row>
    <row r="154" spans="1:13" x14ac:dyDescent="0.35">
      <c r="A154" t="s">
        <v>223</v>
      </c>
      <c r="B154" t="s">
        <v>60</v>
      </c>
      <c r="C154" t="s">
        <v>38</v>
      </c>
      <c r="D154" t="s">
        <v>14</v>
      </c>
      <c r="E154" t="s">
        <v>44</v>
      </c>
      <c r="F154" t="s">
        <v>47</v>
      </c>
      <c r="G154" t="s">
        <v>74</v>
      </c>
      <c r="H154" t="s">
        <v>29</v>
      </c>
      <c r="I154">
        <v>9</v>
      </c>
      <c r="J154">
        <v>37.25</v>
      </c>
      <c r="K154">
        <v>335.25</v>
      </c>
      <c r="L154" t="s">
        <v>585</v>
      </c>
      <c r="M154" t="s">
        <v>586</v>
      </c>
    </row>
    <row r="155" spans="1:13" x14ac:dyDescent="0.35">
      <c r="A155" t="s">
        <v>430</v>
      </c>
      <c r="B155" t="s">
        <v>111</v>
      </c>
      <c r="C155" t="s">
        <v>21</v>
      </c>
      <c r="D155" t="s">
        <v>22</v>
      </c>
      <c r="E155" t="s">
        <v>63</v>
      </c>
      <c r="F155" t="s">
        <v>16</v>
      </c>
      <c r="G155" t="s">
        <v>35</v>
      </c>
      <c r="H155" t="s">
        <v>29</v>
      </c>
      <c r="I155">
        <v>7</v>
      </c>
      <c r="J155">
        <v>278.22000000000003</v>
      </c>
      <c r="K155">
        <v>1947.54</v>
      </c>
      <c r="L155" t="s">
        <v>588</v>
      </c>
      <c r="M155" t="s">
        <v>586</v>
      </c>
    </row>
    <row r="156" spans="1:13" x14ac:dyDescent="0.35">
      <c r="A156" t="s">
        <v>225</v>
      </c>
      <c r="B156" t="s">
        <v>20</v>
      </c>
      <c r="C156" t="s">
        <v>43</v>
      </c>
      <c r="D156" t="s">
        <v>33</v>
      </c>
      <c r="E156" t="s">
        <v>44</v>
      </c>
      <c r="F156" t="s">
        <v>28</v>
      </c>
      <c r="G156" t="s">
        <v>24</v>
      </c>
      <c r="H156" t="s">
        <v>29</v>
      </c>
      <c r="I156">
        <v>6</v>
      </c>
      <c r="J156">
        <v>4.6399999999999997</v>
      </c>
      <c r="K156">
        <v>27.84</v>
      </c>
      <c r="L156" t="s">
        <v>585</v>
      </c>
      <c r="M156" t="s">
        <v>586</v>
      </c>
    </row>
    <row r="157" spans="1:13" x14ac:dyDescent="0.35">
      <c r="A157" t="s">
        <v>429</v>
      </c>
      <c r="B157" t="s">
        <v>65</v>
      </c>
      <c r="C157" t="s">
        <v>38</v>
      </c>
      <c r="D157" t="s">
        <v>14</v>
      </c>
      <c r="E157" t="s">
        <v>39</v>
      </c>
      <c r="F157" t="s">
        <v>16</v>
      </c>
      <c r="G157" t="s">
        <v>74</v>
      </c>
      <c r="H157" t="s">
        <v>29</v>
      </c>
      <c r="I157">
        <v>1</v>
      </c>
      <c r="J157">
        <v>34.72</v>
      </c>
      <c r="K157">
        <v>34.72</v>
      </c>
      <c r="L157" t="s">
        <v>585</v>
      </c>
      <c r="M157" t="s">
        <v>587</v>
      </c>
    </row>
    <row r="158" spans="1:13" x14ac:dyDescent="0.35">
      <c r="A158" t="s">
        <v>227</v>
      </c>
      <c r="B158" t="s">
        <v>118</v>
      </c>
      <c r="C158" t="s">
        <v>38</v>
      </c>
      <c r="D158" t="s">
        <v>14</v>
      </c>
      <c r="E158" t="s">
        <v>39</v>
      </c>
      <c r="F158" t="s">
        <v>16</v>
      </c>
      <c r="G158" t="s">
        <v>45</v>
      </c>
      <c r="H158" t="s">
        <v>29</v>
      </c>
      <c r="I158">
        <v>7</v>
      </c>
      <c r="J158">
        <v>31.99</v>
      </c>
      <c r="K158">
        <v>223.93</v>
      </c>
      <c r="L158" t="s">
        <v>585</v>
      </c>
      <c r="M158" t="s">
        <v>586</v>
      </c>
    </row>
    <row r="159" spans="1:13" x14ac:dyDescent="0.35">
      <c r="A159" t="s">
        <v>228</v>
      </c>
      <c r="B159" t="s">
        <v>69</v>
      </c>
      <c r="C159" t="s">
        <v>13</v>
      </c>
      <c r="D159" t="s">
        <v>14</v>
      </c>
      <c r="E159" t="s">
        <v>39</v>
      </c>
      <c r="F159" t="s">
        <v>47</v>
      </c>
      <c r="G159" t="s">
        <v>35</v>
      </c>
      <c r="H159" t="s">
        <v>29</v>
      </c>
      <c r="I159">
        <v>3</v>
      </c>
      <c r="J159">
        <v>174.07</v>
      </c>
      <c r="K159">
        <v>522.21</v>
      </c>
      <c r="L159" t="s">
        <v>585</v>
      </c>
      <c r="M159" t="s">
        <v>587</v>
      </c>
    </row>
    <row r="160" spans="1:13" x14ac:dyDescent="0.35">
      <c r="A160" t="s">
        <v>229</v>
      </c>
      <c r="B160" t="s">
        <v>20</v>
      </c>
      <c r="C160" t="s">
        <v>21</v>
      </c>
      <c r="D160" t="s">
        <v>22</v>
      </c>
      <c r="E160" t="s">
        <v>63</v>
      </c>
      <c r="F160" t="s">
        <v>40</v>
      </c>
      <c r="G160" t="s">
        <v>17</v>
      </c>
      <c r="H160" t="s">
        <v>29</v>
      </c>
      <c r="I160">
        <v>5</v>
      </c>
      <c r="J160">
        <v>234.36</v>
      </c>
      <c r="K160">
        <v>1171.8</v>
      </c>
      <c r="L160" t="s">
        <v>588</v>
      </c>
      <c r="M160" t="s">
        <v>586</v>
      </c>
    </row>
    <row r="161" spans="1:13" x14ac:dyDescent="0.35">
      <c r="A161" t="s">
        <v>428</v>
      </c>
      <c r="B161" t="s">
        <v>60</v>
      </c>
      <c r="C161" t="s">
        <v>61</v>
      </c>
      <c r="D161" t="s">
        <v>14</v>
      </c>
      <c r="E161" t="s">
        <v>15</v>
      </c>
      <c r="F161" t="s">
        <v>47</v>
      </c>
      <c r="G161" t="s">
        <v>24</v>
      </c>
      <c r="H161" t="s">
        <v>29</v>
      </c>
      <c r="I161">
        <v>2</v>
      </c>
      <c r="J161">
        <v>213.95</v>
      </c>
      <c r="K161">
        <v>427.9</v>
      </c>
      <c r="L161" t="s">
        <v>585</v>
      </c>
      <c r="M161" t="s">
        <v>587</v>
      </c>
    </row>
    <row r="162" spans="1:13" x14ac:dyDescent="0.35">
      <c r="A162" t="s">
        <v>231</v>
      </c>
      <c r="B162" t="s">
        <v>88</v>
      </c>
      <c r="C162" t="s">
        <v>21</v>
      </c>
      <c r="D162" t="s">
        <v>22</v>
      </c>
      <c r="E162" t="s">
        <v>63</v>
      </c>
      <c r="F162" t="s">
        <v>47</v>
      </c>
      <c r="G162" t="s">
        <v>45</v>
      </c>
      <c r="H162" t="s">
        <v>29</v>
      </c>
      <c r="I162">
        <v>9</v>
      </c>
      <c r="J162">
        <v>275.62</v>
      </c>
      <c r="K162">
        <v>2480.58</v>
      </c>
      <c r="L162" t="s">
        <v>588</v>
      </c>
      <c r="M162" t="s">
        <v>586</v>
      </c>
    </row>
    <row r="163" spans="1:13" x14ac:dyDescent="0.35">
      <c r="A163" t="s">
        <v>232</v>
      </c>
      <c r="B163" t="s">
        <v>60</v>
      </c>
      <c r="C163" t="s">
        <v>66</v>
      </c>
      <c r="D163" t="s">
        <v>67</v>
      </c>
      <c r="E163" t="s">
        <v>63</v>
      </c>
      <c r="F163" t="s">
        <v>47</v>
      </c>
      <c r="G163" t="s">
        <v>24</v>
      </c>
      <c r="H163" t="s">
        <v>29</v>
      </c>
      <c r="I163">
        <v>7</v>
      </c>
      <c r="J163">
        <v>38.28</v>
      </c>
      <c r="K163">
        <v>267.95999999999998</v>
      </c>
      <c r="L163" t="s">
        <v>585</v>
      </c>
      <c r="M163" t="s">
        <v>586</v>
      </c>
    </row>
    <row r="164" spans="1:13" x14ac:dyDescent="0.35">
      <c r="A164" t="s">
        <v>427</v>
      </c>
      <c r="B164" t="s">
        <v>118</v>
      </c>
      <c r="C164" t="s">
        <v>43</v>
      </c>
      <c r="D164" t="s">
        <v>33</v>
      </c>
      <c r="E164" t="s">
        <v>44</v>
      </c>
      <c r="F164" t="s">
        <v>16</v>
      </c>
      <c r="G164" t="s">
        <v>74</v>
      </c>
      <c r="H164" t="s">
        <v>29</v>
      </c>
      <c r="I164">
        <v>6</v>
      </c>
      <c r="J164">
        <v>5.61</v>
      </c>
      <c r="K164">
        <v>33.659999999999997</v>
      </c>
      <c r="L164" t="s">
        <v>585</v>
      </c>
      <c r="M164" t="s">
        <v>586</v>
      </c>
    </row>
    <row r="165" spans="1:13" x14ac:dyDescent="0.35">
      <c r="A165" t="s">
        <v>424</v>
      </c>
      <c r="B165" t="s">
        <v>118</v>
      </c>
      <c r="C165" t="s">
        <v>13</v>
      </c>
      <c r="D165" t="s">
        <v>14</v>
      </c>
      <c r="E165" t="s">
        <v>63</v>
      </c>
      <c r="F165" t="s">
        <v>16</v>
      </c>
      <c r="G165" t="s">
        <v>45</v>
      </c>
      <c r="H165" t="s">
        <v>29</v>
      </c>
      <c r="I165">
        <v>7</v>
      </c>
      <c r="J165">
        <v>161.41999999999999</v>
      </c>
      <c r="K165">
        <v>1129.94</v>
      </c>
      <c r="L165" t="s">
        <v>588</v>
      </c>
      <c r="M165" t="s">
        <v>586</v>
      </c>
    </row>
    <row r="166" spans="1:13" x14ac:dyDescent="0.35">
      <c r="A166" t="s">
        <v>423</v>
      </c>
      <c r="B166" t="s">
        <v>71</v>
      </c>
      <c r="C166" t="s">
        <v>21</v>
      </c>
      <c r="D166" t="s">
        <v>22</v>
      </c>
      <c r="E166" t="s">
        <v>15</v>
      </c>
      <c r="F166" t="s">
        <v>16</v>
      </c>
      <c r="G166" t="s">
        <v>48</v>
      </c>
      <c r="H166" t="s">
        <v>29</v>
      </c>
      <c r="I166">
        <v>2</v>
      </c>
      <c r="J166">
        <v>290.64999999999998</v>
      </c>
      <c r="K166">
        <v>581.29999999999995</v>
      </c>
      <c r="L166" t="s">
        <v>585</v>
      </c>
      <c r="M166" t="s">
        <v>587</v>
      </c>
    </row>
    <row r="167" spans="1:13" x14ac:dyDescent="0.35">
      <c r="A167" t="s">
        <v>422</v>
      </c>
      <c r="B167" t="s">
        <v>42</v>
      </c>
      <c r="C167" t="s">
        <v>27</v>
      </c>
      <c r="D167" t="s">
        <v>14</v>
      </c>
      <c r="E167" t="s">
        <v>63</v>
      </c>
      <c r="F167" t="s">
        <v>23</v>
      </c>
      <c r="G167" t="s">
        <v>45</v>
      </c>
      <c r="H167" t="s">
        <v>29</v>
      </c>
      <c r="I167">
        <v>9</v>
      </c>
      <c r="J167">
        <v>22.9</v>
      </c>
      <c r="K167">
        <v>206.1</v>
      </c>
      <c r="L167" t="s">
        <v>585</v>
      </c>
      <c r="M167" t="s">
        <v>586</v>
      </c>
    </row>
    <row r="168" spans="1:13" x14ac:dyDescent="0.35">
      <c r="A168" t="s">
        <v>237</v>
      </c>
      <c r="B168" t="s">
        <v>147</v>
      </c>
      <c r="C168" t="s">
        <v>66</v>
      </c>
      <c r="D168" t="s">
        <v>67</v>
      </c>
      <c r="E168" t="s">
        <v>39</v>
      </c>
      <c r="F168" t="s">
        <v>28</v>
      </c>
      <c r="G168" t="s">
        <v>74</v>
      </c>
      <c r="H168" t="s">
        <v>29</v>
      </c>
      <c r="I168">
        <v>8</v>
      </c>
      <c r="J168">
        <v>43.4</v>
      </c>
      <c r="K168">
        <v>347.2</v>
      </c>
      <c r="L168" t="s">
        <v>585</v>
      </c>
      <c r="M168" t="s">
        <v>586</v>
      </c>
    </row>
    <row r="169" spans="1:13" x14ac:dyDescent="0.35">
      <c r="A169" t="s">
        <v>238</v>
      </c>
      <c r="B169" t="s">
        <v>65</v>
      </c>
      <c r="C169" t="s">
        <v>61</v>
      </c>
      <c r="D169" t="s">
        <v>14</v>
      </c>
      <c r="E169" t="s">
        <v>39</v>
      </c>
      <c r="F169" t="s">
        <v>16</v>
      </c>
      <c r="G169" t="s">
        <v>45</v>
      </c>
      <c r="H169" t="s">
        <v>29</v>
      </c>
      <c r="I169">
        <v>7</v>
      </c>
      <c r="J169">
        <v>200.31</v>
      </c>
      <c r="K169">
        <v>1402.17</v>
      </c>
      <c r="L169" t="s">
        <v>588</v>
      </c>
      <c r="M169" t="s">
        <v>586</v>
      </c>
    </row>
    <row r="170" spans="1:13" x14ac:dyDescent="0.35">
      <c r="A170" t="s">
        <v>239</v>
      </c>
      <c r="B170" t="s">
        <v>128</v>
      </c>
      <c r="C170" t="s">
        <v>13</v>
      </c>
      <c r="D170" t="s">
        <v>14</v>
      </c>
      <c r="E170" t="s">
        <v>44</v>
      </c>
      <c r="F170" t="s">
        <v>47</v>
      </c>
      <c r="G170" t="s">
        <v>24</v>
      </c>
      <c r="H170" t="s">
        <v>29</v>
      </c>
      <c r="I170">
        <v>5</v>
      </c>
      <c r="J170">
        <v>157.52000000000001</v>
      </c>
      <c r="K170">
        <v>787.6</v>
      </c>
      <c r="L170" t="s">
        <v>585</v>
      </c>
      <c r="M170" t="s">
        <v>586</v>
      </c>
    </row>
    <row r="171" spans="1:13" x14ac:dyDescent="0.35">
      <c r="A171" t="s">
        <v>421</v>
      </c>
      <c r="B171" t="s">
        <v>90</v>
      </c>
      <c r="C171" t="s">
        <v>66</v>
      </c>
      <c r="D171" t="s">
        <v>67</v>
      </c>
      <c r="E171" t="s">
        <v>39</v>
      </c>
      <c r="F171" t="s">
        <v>47</v>
      </c>
      <c r="G171" t="s">
        <v>74</v>
      </c>
      <c r="H171" t="s">
        <v>29</v>
      </c>
      <c r="I171">
        <v>6</v>
      </c>
      <c r="J171">
        <v>40.31</v>
      </c>
      <c r="K171">
        <v>241.86</v>
      </c>
      <c r="L171" t="s">
        <v>585</v>
      </c>
      <c r="M171" t="s">
        <v>586</v>
      </c>
    </row>
    <row r="172" spans="1:13" x14ac:dyDescent="0.35">
      <c r="A172" t="s">
        <v>420</v>
      </c>
      <c r="B172" t="s">
        <v>77</v>
      </c>
      <c r="C172" t="s">
        <v>27</v>
      </c>
      <c r="D172" t="s">
        <v>14</v>
      </c>
      <c r="E172" t="s">
        <v>63</v>
      </c>
      <c r="F172" t="s">
        <v>28</v>
      </c>
      <c r="G172" t="s">
        <v>48</v>
      </c>
      <c r="H172" t="s">
        <v>29</v>
      </c>
      <c r="I172">
        <v>9</v>
      </c>
      <c r="J172">
        <v>19.32</v>
      </c>
      <c r="K172">
        <v>173.88</v>
      </c>
      <c r="L172" t="s">
        <v>585</v>
      </c>
      <c r="M172" t="s">
        <v>586</v>
      </c>
    </row>
    <row r="173" spans="1:13" x14ac:dyDescent="0.35">
      <c r="A173" t="s">
        <v>242</v>
      </c>
      <c r="B173" t="s">
        <v>65</v>
      </c>
      <c r="C173" t="s">
        <v>58</v>
      </c>
      <c r="D173" t="s">
        <v>22</v>
      </c>
      <c r="E173" t="s">
        <v>15</v>
      </c>
      <c r="F173" t="s">
        <v>47</v>
      </c>
      <c r="G173" t="s">
        <v>35</v>
      </c>
      <c r="H173" t="s">
        <v>29</v>
      </c>
      <c r="I173">
        <v>4</v>
      </c>
      <c r="J173">
        <v>140.4</v>
      </c>
      <c r="K173">
        <v>561.6</v>
      </c>
      <c r="L173" t="s">
        <v>585</v>
      </c>
      <c r="M173" t="s">
        <v>587</v>
      </c>
    </row>
    <row r="174" spans="1:13" x14ac:dyDescent="0.35">
      <c r="A174" t="s">
        <v>243</v>
      </c>
      <c r="B174" t="s">
        <v>90</v>
      </c>
      <c r="C174" t="s">
        <v>13</v>
      </c>
      <c r="D174" t="s">
        <v>14</v>
      </c>
      <c r="E174" t="s">
        <v>63</v>
      </c>
      <c r="F174" t="s">
        <v>23</v>
      </c>
      <c r="G174" t="s">
        <v>48</v>
      </c>
      <c r="H174" t="s">
        <v>29</v>
      </c>
      <c r="I174">
        <v>5</v>
      </c>
      <c r="J174">
        <v>149.36000000000001</v>
      </c>
      <c r="K174">
        <v>746.8</v>
      </c>
      <c r="L174" t="s">
        <v>585</v>
      </c>
      <c r="M174" t="s">
        <v>586</v>
      </c>
    </row>
    <row r="175" spans="1:13" x14ac:dyDescent="0.35">
      <c r="A175" t="s">
        <v>418</v>
      </c>
      <c r="B175" t="s">
        <v>111</v>
      </c>
      <c r="C175" t="s">
        <v>21</v>
      </c>
      <c r="D175" t="s">
        <v>22</v>
      </c>
      <c r="E175" t="s">
        <v>15</v>
      </c>
      <c r="F175" t="s">
        <v>23</v>
      </c>
      <c r="G175" t="s">
        <v>48</v>
      </c>
      <c r="H175" t="s">
        <v>29</v>
      </c>
      <c r="I175">
        <v>4</v>
      </c>
      <c r="J175">
        <v>256.98</v>
      </c>
      <c r="K175">
        <v>1027.92</v>
      </c>
      <c r="L175" t="s">
        <v>588</v>
      </c>
      <c r="M175" t="s">
        <v>587</v>
      </c>
    </row>
    <row r="176" spans="1:13" x14ac:dyDescent="0.35">
      <c r="A176" t="s">
        <v>412</v>
      </c>
      <c r="B176" t="s">
        <v>57</v>
      </c>
      <c r="C176" t="s">
        <v>13</v>
      </c>
      <c r="D176" t="s">
        <v>14</v>
      </c>
      <c r="E176" t="s">
        <v>39</v>
      </c>
      <c r="F176" t="s">
        <v>28</v>
      </c>
      <c r="G176" t="s">
        <v>48</v>
      </c>
      <c r="H176" t="s">
        <v>29</v>
      </c>
      <c r="I176">
        <v>10</v>
      </c>
      <c r="J176">
        <v>158.12</v>
      </c>
      <c r="K176">
        <v>1581.2</v>
      </c>
      <c r="L176" t="s">
        <v>588</v>
      </c>
      <c r="M176" t="s">
        <v>586</v>
      </c>
    </row>
    <row r="177" spans="1:13" x14ac:dyDescent="0.35">
      <c r="A177" t="s">
        <v>246</v>
      </c>
      <c r="B177" t="s">
        <v>26</v>
      </c>
      <c r="C177" t="s">
        <v>32</v>
      </c>
      <c r="D177" t="s">
        <v>33</v>
      </c>
      <c r="E177" t="s">
        <v>39</v>
      </c>
      <c r="F177" t="s">
        <v>40</v>
      </c>
      <c r="G177" t="s">
        <v>17</v>
      </c>
      <c r="H177" t="s">
        <v>29</v>
      </c>
      <c r="I177">
        <v>10</v>
      </c>
      <c r="J177">
        <v>2.81</v>
      </c>
      <c r="K177">
        <v>28.1</v>
      </c>
      <c r="L177" t="s">
        <v>585</v>
      </c>
      <c r="M177" t="s">
        <v>586</v>
      </c>
    </row>
    <row r="178" spans="1:13" x14ac:dyDescent="0.35">
      <c r="A178" t="s">
        <v>247</v>
      </c>
      <c r="B178" t="s">
        <v>147</v>
      </c>
      <c r="C178" t="s">
        <v>38</v>
      </c>
      <c r="D178" t="s">
        <v>14</v>
      </c>
      <c r="E178" t="s">
        <v>39</v>
      </c>
      <c r="F178" t="s">
        <v>34</v>
      </c>
      <c r="G178" t="s">
        <v>45</v>
      </c>
      <c r="H178" t="s">
        <v>29</v>
      </c>
      <c r="I178">
        <v>10</v>
      </c>
      <c r="J178">
        <v>40.9</v>
      </c>
      <c r="K178">
        <v>409</v>
      </c>
      <c r="L178" t="s">
        <v>585</v>
      </c>
      <c r="M178" t="s">
        <v>586</v>
      </c>
    </row>
    <row r="179" spans="1:13" x14ac:dyDescent="0.35">
      <c r="A179" t="s">
        <v>248</v>
      </c>
      <c r="B179" t="s">
        <v>52</v>
      </c>
      <c r="C179" t="s">
        <v>13</v>
      </c>
      <c r="D179" t="s">
        <v>14</v>
      </c>
      <c r="E179" t="s">
        <v>15</v>
      </c>
      <c r="F179" t="s">
        <v>40</v>
      </c>
      <c r="G179" t="s">
        <v>35</v>
      </c>
      <c r="H179" t="s">
        <v>29</v>
      </c>
      <c r="I179">
        <v>5</v>
      </c>
      <c r="J179">
        <v>161.02000000000001</v>
      </c>
      <c r="K179">
        <v>805.1</v>
      </c>
      <c r="L179" t="s">
        <v>585</v>
      </c>
      <c r="M179" t="s">
        <v>586</v>
      </c>
    </row>
    <row r="180" spans="1:13" x14ac:dyDescent="0.35">
      <c r="A180" t="s">
        <v>249</v>
      </c>
      <c r="B180" t="s">
        <v>60</v>
      </c>
      <c r="C180" t="s">
        <v>66</v>
      </c>
      <c r="D180" t="s">
        <v>67</v>
      </c>
      <c r="E180" t="s">
        <v>39</v>
      </c>
      <c r="F180" t="s">
        <v>16</v>
      </c>
      <c r="G180" t="s">
        <v>24</v>
      </c>
      <c r="H180" t="s">
        <v>29</v>
      </c>
      <c r="I180">
        <v>1</v>
      </c>
      <c r="J180">
        <v>45.67</v>
      </c>
      <c r="K180">
        <v>45.67</v>
      </c>
      <c r="L180" t="s">
        <v>585</v>
      </c>
      <c r="M180" t="s">
        <v>587</v>
      </c>
    </row>
    <row r="181" spans="1:13" x14ac:dyDescent="0.35">
      <c r="A181" t="s">
        <v>411</v>
      </c>
      <c r="B181" t="s">
        <v>128</v>
      </c>
      <c r="C181" t="s">
        <v>66</v>
      </c>
      <c r="D181" t="s">
        <v>67</v>
      </c>
      <c r="E181" t="s">
        <v>44</v>
      </c>
      <c r="F181" t="s">
        <v>34</v>
      </c>
      <c r="G181" t="s">
        <v>74</v>
      </c>
      <c r="H181" t="s">
        <v>29</v>
      </c>
      <c r="I181">
        <v>4</v>
      </c>
      <c r="J181">
        <v>42.38</v>
      </c>
      <c r="K181">
        <v>169.52</v>
      </c>
      <c r="L181" t="s">
        <v>585</v>
      </c>
      <c r="M181" t="s">
        <v>587</v>
      </c>
    </row>
    <row r="182" spans="1:13" x14ac:dyDescent="0.35">
      <c r="A182" t="s">
        <v>409</v>
      </c>
      <c r="B182" t="s">
        <v>60</v>
      </c>
      <c r="C182" t="s">
        <v>38</v>
      </c>
      <c r="D182" t="s">
        <v>14</v>
      </c>
      <c r="E182" t="s">
        <v>63</v>
      </c>
      <c r="F182" t="s">
        <v>23</v>
      </c>
      <c r="G182" t="s">
        <v>17</v>
      </c>
      <c r="H182" t="s">
        <v>29</v>
      </c>
      <c r="I182">
        <v>7</v>
      </c>
      <c r="J182">
        <v>37.35</v>
      </c>
      <c r="K182">
        <v>261.45</v>
      </c>
      <c r="L182" t="s">
        <v>585</v>
      </c>
      <c r="M182" t="s">
        <v>586</v>
      </c>
    </row>
    <row r="183" spans="1:13" x14ac:dyDescent="0.35">
      <c r="A183" t="s">
        <v>408</v>
      </c>
      <c r="B183" t="s">
        <v>147</v>
      </c>
      <c r="C183" t="s">
        <v>66</v>
      </c>
      <c r="D183" t="s">
        <v>67</v>
      </c>
      <c r="E183" t="s">
        <v>39</v>
      </c>
      <c r="F183" t="s">
        <v>40</v>
      </c>
      <c r="G183" t="s">
        <v>74</v>
      </c>
      <c r="H183" t="s">
        <v>29</v>
      </c>
      <c r="I183">
        <v>7</v>
      </c>
      <c r="J183">
        <v>46.07</v>
      </c>
      <c r="K183">
        <v>322.49</v>
      </c>
      <c r="L183" t="s">
        <v>585</v>
      </c>
      <c r="M183" t="s">
        <v>586</v>
      </c>
    </row>
    <row r="184" spans="1:13" x14ac:dyDescent="0.35">
      <c r="A184" t="s">
        <v>407</v>
      </c>
      <c r="B184" t="s">
        <v>94</v>
      </c>
      <c r="C184" t="s">
        <v>38</v>
      </c>
      <c r="D184" t="s">
        <v>14</v>
      </c>
      <c r="E184" t="s">
        <v>39</v>
      </c>
      <c r="F184" t="s">
        <v>47</v>
      </c>
      <c r="G184" t="s">
        <v>35</v>
      </c>
      <c r="H184" t="s">
        <v>29</v>
      </c>
      <c r="I184">
        <v>3</v>
      </c>
      <c r="J184">
        <v>35.770000000000003</v>
      </c>
      <c r="K184">
        <v>107.31</v>
      </c>
      <c r="L184" t="s">
        <v>585</v>
      </c>
      <c r="M184" t="s">
        <v>587</v>
      </c>
    </row>
    <row r="185" spans="1:13" x14ac:dyDescent="0.35">
      <c r="A185" t="s">
        <v>254</v>
      </c>
      <c r="B185" t="s">
        <v>31</v>
      </c>
      <c r="C185" t="s">
        <v>43</v>
      </c>
      <c r="D185" t="s">
        <v>33</v>
      </c>
      <c r="E185" t="s">
        <v>44</v>
      </c>
      <c r="F185" t="s">
        <v>47</v>
      </c>
      <c r="G185" t="s">
        <v>17</v>
      </c>
      <c r="H185" t="s">
        <v>29</v>
      </c>
      <c r="I185">
        <v>9</v>
      </c>
      <c r="J185">
        <v>4.68</v>
      </c>
      <c r="K185">
        <v>42.12</v>
      </c>
      <c r="L185" t="s">
        <v>585</v>
      </c>
      <c r="M185" t="s">
        <v>586</v>
      </c>
    </row>
    <row r="186" spans="1:13" x14ac:dyDescent="0.35">
      <c r="A186" t="s">
        <v>255</v>
      </c>
      <c r="B186" t="s">
        <v>94</v>
      </c>
      <c r="C186" t="s">
        <v>21</v>
      </c>
      <c r="D186" t="s">
        <v>22</v>
      </c>
      <c r="E186" t="s">
        <v>63</v>
      </c>
      <c r="F186" t="s">
        <v>47</v>
      </c>
      <c r="G186" t="s">
        <v>74</v>
      </c>
      <c r="H186" t="s">
        <v>29</v>
      </c>
      <c r="I186">
        <v>4</v>
      </c>
      <c r="J186">
        <v>246.84</v>
      </c>
      <c r="K186">
        <v>987.36</v>
      </c>
      <c r="L186" t="s">
        <v>585</v>
      </c>
      <c r="M186" t="s">
        <v>587</v>
      </c>
    </row>
    <row r="187" spans="1:13" x14ac:dyDescent="0.35">
      <c r="A187" t="s">
        <v>256</v>
      </c>
      <c r="B187" t="s">
        <v>65</v>
      </c>
      <c r="C187" t="s">
        <v>38</v>
      </c>
      <c r="D187" t="s">
        <v>14</v>
      </c>
      <c r="E187" t="s">
        <v>39</v>
      </c>
      <c r="F187" t="s">
        <v>47</v>
      </c>
      <c r="G187" t="s">
        <v>35</v>
      </c>
      <c r="H187" t="s">
        <v>29</v>
      </c>
      <c r="I187">
        <v>1</v>
      </c>
      <c r="J187">
        <v>36.090000000000003</v>
      </c>
      <c r="K187">
        <v>36.090000000000003</v>
      </c>
      <c r="L187" t="s">
        <v>585</v>
      </c>
      <c r="M187" t="s">
        <v>587</v>
      </c>
    </row>
    <row r="188" spans="1:13" x14ac:dyDescent="0.35">
      <c r="A188" t="s">
        <v>257</v>
      </c>
      <c r="B188" t="s">
        <v>90</v>
      </c>
      <c r="C188" t="s">
        <v>66</v>
      </c>
      <c r="D188" t="s">
        <v>67</v>
      </c>
      <c r="E188" t="s">
        <v>63</v>
      </c>
      <c r="F188" t="s">
        <v>28</v>
      </c>
      <c r="G188" t="s">
        <v>48</v>
      </c>
      <c r="H188" t="s">
        <v>29</v>
      </c>
      <c r="I188">
        <v>6</v>
      </c>
      <c r="J188">
        <v>38.869999999999997</v>
      </c>
      <c r="K188">
        <v>233.22</v>
      </c>
      <c r="L188" t="s">
        <v>585</v>
      </c>
      <c r="M188" t="s">
        <v>586</v>
      </c>
    </row>
    <row r="189" spans="1:13" x14ac:dyDescent="0.35">
      <c r="A189" t="s">
        <v>405</v>
      </c>
      <c r="B189" t="s">
        <v>90</v>
      </c>
      <c r="C189" t="s">
        <v>43</v>
      </c>
      <c r="D189" t="s">
        <v>33</v>
      </c>
      <c r="E189" t="s">
        <v>39</v>
      </c>
      <c r="F189" t="s">
        <v>28</v>
      </c>
      <c r="G189" t="s">
        <v>24</v>
      </c>
      <c r="H189" t="s">
        <v>29</v>
      </c>
      <c r="I189">
        <v>6</v>
      </c>
      <c r="J189">
        <v>5.95</v>
      </c>
      <c r="K189">
        <v>35.700000000000003</v>
      </c>
      <c r="L189" t="s">
        <v>585</v>
      </c>
      <c r="M189" t="s">
        <v>586</v>
      </c>
    </row>
    <row r="190" spans="1:13" x14ac:dyDescent="0.35">
      <c r="A190" t="s">
        <v>400</v>
      </c>
      <c r="B190" t="s">
        <v>50</v>
      </c>
      <c r="C190" t="s">
        <v>32</v>
      </c>
      <c r="D190" t="s">
        <v>33</v>
      </c>
      <c r="E190" t="s">
        <v>44</v>
      </c>
      <c r="F190" t="s">
        <v>16</v>
      </c>
      <c r="G190" t="s">
        <v>17</v>
      </c>
      <c r="H190" t="s">
        <v>29</v>
      </c>
      <c r="I190">
        <v>4</v>
      </c>
      <c r="J190">
        <v>2.88</v>
      </c>
      <c r="K190">
        <v>11.52</v>
      </c>
      <c r="L190" t="s">
        <v>585</v>
      </c>
      <c r="M190" t="s">
        <v>587</v>
      </c>
    </row>
    <row r="191" spans="1:13" x14ac:dyDescent="0.35">
      <c r="A191" t="s">
        <v>260</v>
      </c>
      <c r="B191" t="s">
        <v>50</v>
      </c>
      <c r="C191" t="s">
        <v>27</v>
      </c>
      <c r="D191" t="s">
        <v>14</v>
      </c>
      <c r="E191" t="s">
        <v>39</v>
      </c>
      <c r="F191" t="s">
        <v>28</v>
      </c>
      <c r="G191" t="s">
        <v>24</v>
      </c>
      <c r="H191" t="s">
        <v>29</v>
      </c>
      <c r="I191">
        <v>4</v>
      </c>
      <c r="J191">
        <v>22.6</v>
      </c>
      <c r="K191">
        <v>90.4</v>
      </c>
      <c r="L191" t="s">
        <v>585</v>
      </c>
      <c r="M191" t="s">
        <v>587</v>
      </c>
    </row>
    <row r="192" spans="1:13" x14ac:dyDescent="0.35">
      <c r="A192" t="s">
        <v>261</v>
      </c>
      <c r="B192" t="s">
        <v>107</v>
      </c>
      <c r="C192" t="s">
        <v>13</v>
      </c>
      <c r="D192" t="s">
        <v>14</v>
      </c>
      <c r="E192" t="s">
        <v>44</v>
      </c>
      <c r="F192" t="s">
        <v>47</v>
      </c>
      <c r="G192" t="s">
        <v>35</v>
      </c>
      <c r="H192" t="s">
        <v>29</v>
      </c>
      <c r="I192">
        <v>6</v>
      </c>
      <c r="J192">
        <v>136.43</v>
      </c>
      <c r="K192">
        <v>818.58</v>
      </c>
      <c r="L192" t="s">
        <v>585</v>
      </c>
      <c r="M192" t="s">
        <v>586</v>
      </c>
    </row>
    <row r="193" spans="1:13" x14ac:dyDescent="0.35">
      <c r="A193" t="s">
        <v>398</v>
      </c>
      <c r="B193" t="s">
        <v>65</v>
      </c>
      <c r="C193" t="s">
        <v>66</v>
      </c>
      <c r="D193" t="s">
        <v>67</v>
      </c>
      <c r="E193" t="s">
        <v>63</v>
      </c>
      <c r="F193" t="s">
        <v>28</v>
      </c>
      <c r="G193" t="s">
        <v>35</v>
      </c>
      <c r="H193" t="s">
        <v>29</v>
      </c>
      <c r="I193">
        <v>7</v>
      </c>
      <c r="J193">
        <v>36.950000000000003</v>
      </c>
      <c r="K193">
        <v>258.64999999999998</v>
      </c>
      <c r="L193" t="s">
        <v>585</v>
      </c>
      <c r="M193" t="s">
        <v>586</v>
      </c>
    </row>
    <row r="194" spans="1:13" x14ac:dyDescent="0.35">
      <c r="A194" t="s">
        <v>396</v>
      </c>
      <c r="B194" t="s">
        <v>128</v>
      </c>
      <c r="C194" t="s">
        <v>27</v>
      </c>
      <c r="D194" t="s">
        <v>14</v>
      </c>
      <c r="E194" t="s">
        <v>15</v>
      </c>
      <c r="F194" t="s">
        <v>28</v>
      </c>
      <c r="G194" t="s">
        <v>17</v>
      </c>
      <c r="H194" t="s">
        <v>29</v>
      </c>
      <c r="I194">
        <v>9</v>
      </c>
      <c r="J194">
        <v>23.82</v>
      </c>
      <c r="K194">
        <v>214.38</v>
      </c>
      <c r="L194" t="s">
        <v>585</v>
      </c>
      <c r="M194" t="s">
        <v>586</v>
      </c>
    </row>
    <row r="195" spans="1:13" x14ac:dyDescent="0.35">
      <c r="A195" t="s">
        <v>264</v>
      </c>
      <c r="B195" t="s">
        <v>26</v>
      </c>
      <c r="C195" t="s">
        <v>43</v>
      </c>
      <c r="D195" t="s">
        <v>33</v>
      </c>
      <c r="E195" t="s">
        <v>44</v>
      </c>
      <c r="F195" t="s">
        <v>40</v>
      </c>
      <c r="G195" t="s">
        <v>74</v>
      </c>
      <c r="H195" t="s">
        <v>29</v>
      </c>
      <c r="I195">
        <v>2</v>
      </c>
      <c r="J195">
        <v>4.9800000000000004</v>
      </c>
      <c r="K195">
        <v>9.9600000000000009</v>
      </c>
      <c r="L195" t="s">
        <v>585</v>
      </c>
      <c r="M195" t="s">
        <v>587</v>
      </c>
    </row>
    <row r="196" spans="1:13" x14ac:dyDescent="0.35">
      <c r="A196" t="s">
        <v>395</v>
      </c>
      <c r="B196" t="s">
        <v>26</v>
      </c>
      <c r="C196" t="s">
        <v>58</v>
      </c>
      <c r="D196" t="s">
        <v>22</v>
      </c>
      <c r="E196" t="s">
        <v>39</v>
      </c>
      <c r="F196" t="s">
        <v>40</v>
      </c>
      <c r="G196" t="s">
        <v>35</v>
      </c>
      <c r="H196" t="s">
        <v>29</v>
      </c>
      <c r="I196">
        <v>10</v>
      </c>
      <c r="J196">
        <v>114.39</v>
      </c>
      <c r="K196">
        <v>1143.9000000000001</v>
      </c>
      <c r="L196" t="s">
        <v>588</v>
      </c>
      <c r="M196" t="s">
        <v>586</v>
      </c>
    </row>
    <row r="197" spans="1:13" x14ac:dyDescent="0.35">
      <c r="A197" t="s">
        <v>392</v>
      </c>
      <c r="B197" t="s">
        <v>94</v>
      </c>
      <c r="C197" t="s">
        <v>32</v>
      </c>
      <c r="D197" t="s">
        <v>33</v>
      </c>
      <c r="E197" t="s">
        <v>15</v>
      </c>
      <c r="F197" t="s">
        <v>47</v>
      </c>
      <c r="G197" t="s">
        <v>45</v>
      </c>
      <c r="H197" t="s">
        <v>29</v>
      </c>
      <c r="I197">
        <v>7</v>
      </c>
      <c r="J197">
        <v>3.14</v>
      </c>
      <c r="K197">
        <v>21.98</v>
      </c>
      <c r="L197" t="s">
        <v>585</v>
      </c>
      <c r="M197" t="s">
        <v>586</v>
      </c>
    </row>
    <row r="198" spans="1:13" x14ac:dyDescent="0.35">
      <c r="A198" t="s">
        <v>267</v>
      </c>
      <c r="B198" t="s">
        <v>71</v>
      </c>
      <c r="C198" t="s">
        <v>61</v>
      </c>
      <c r="D198" t="s">
        <v>14</v>
      </c>
      <c r="E198" t="s">
        <v>15</v>
      </c>
      <c r="F198" t="s">
        <v>28</v>
      </c>
      <c r="G198" t="s">
        <v>74</v>
      </c>
      <c r="H198" t="s">
        <v>29</v>
      </c>
      <c r="I198">
        <v>8</v>
      </c>
      <c r="J198">
        <v>171.63</v>
      </c>
      <c r="K198">
        <v>1373.04</v>
      </c>
      <c r="L198" t="s">
        <v>588</v>
      </c>
      <c r="M198" t="s">
        <v>586</v>
      </c>
    </row>
    <row r="199" spans="1:13" x14ac:dyDescent="0.35">
      <c r="A199" t="s">
        <v>390</v>
      </c>
      <c r="B199" t="s">
        <v>128</v>
      </c>
      <c r="C199" t="s">
        <v>32</v>
      </c>
      <c r="D199" t="s">
        <v>33</v>
      </c>
      <c r="E199" t="s">
        <v>39</v>
      </c>
      <c r="F199" t="s">
        <v>23</v>
      </c>
      <c r="G199" t="s">
        <v>48</v>
      </c>
      <c r="H199" t="s">
        <v>29</v>
      </c>
      <c r="I199">
        <v>7</v>
      </c>
      <c r="J199">
        <v>3.51</v>
      </c>
      <c r="K199">
        <v>24.57</v>
      </c>
      <c r="L199" t="s">
        <v>585</v>
      </c>
      <c r="M199" t="s">
        <v>586</v>
      </c>
    </row>
    <row r="200" spans="1:13" x14ac:dyDescent="0.35">
      <c r="A200" t="s">
        <v>269</v>
      </c>
      <c r="B200" t="s">
        <v>73</v>
      </c>
      <c r="C200" t="s">
        <v>61</v>
      </c>
      <c r="D200" t="s">
        <v>14</v>
      </c>
      <c r="E200" t="s">
        <v>39</v>
      </c>
      <c r="F200" t="s">
        <v>28</v>
      </c>
      <c r="G200" t="s">
        <v>45</v>
      </c>
      <c r="H200" t="s">
        <v>29</v>
      </c>
      <c r="I200">
        <v>3</v>
      </c>
      <c r="J200">
        <v>167.9</v>
      </c>
      <c r="K200">
        <v>503.7</v>
      </c>
      <c r="L200" t="s">
        <v>585</v>
      </c>
      <c r="M200" t="s">
        <v>587</v>
      </c>
    </row>
    <row r="201" spans="1:13" x14ac:dyDescent="0.35">
      <c r="A201" t="s">
        <v>388</v>
      </c>
      <c r="B201" t="s">
        <v>107</v>
      </c>
      <c r="C201" t="s">
        <v>58</v>
      </c>
      <c r="D201" t="s">
        <v>22</v>
      </c>
      <c r="E201" t="s">
        <v>15</v>
      </c>
      <c r="F201" t="s">
        <v>28</v>
      </c>
      <c r="G201" t="s">
        <v>17</v>
      </c>
      <c r="H201" t="s">
        <v>29</v>
      </c>
      <c r="I201">
        <v>7</v>
      </c>
      <c r="J201">
        <v>120.93</v>
      </c>
      <c r="K201">
        <v>846.51</v>
      </c>
      <c r="L201" t="s">
        <v>585</v>
      </c>
      <c r="M201" t="s">
        <v>586</v>
      </c>
    </row>
    <row r="202" spans="1:13" x14ac:dyDescent="0.35">
      <c r="A202" t="s">
        <v>271</v>
      </c>
      <c r="B202" t="s">
        <v>26</v>
      </c>
      <c r="C202" t="s">
        <v>55</v>
      </c>
      <c r="D202" t="s">
        <v>14</v>
      </c>
      <c r="E202" t="s">
        <v>63</v>
      </c>
      <c r="F202" t="s">
        <v>47</v>
      </c>
      <c r="G202" t="s">
        <v>24</v>
      </c>
      <c r="H202" t="s">
        <v>29</v>
      </c>
      <c r="I202">
        <v>8</v>
      </c>
      <c r="J202">
        <v>771.74</v>
      </c>
      <c r="K202">
        <v>6173.92</v>
      </c>
      <c r="L202" t="s">
        <v>588</v>
      </c>
      <c r="M202" t="s">
        <v>586</v>
      </c>
    </row>
    <row r="203" spans="1:13" x14ac:dyDescent="0.35">
      <c r="A203" t="s">
        <v>272</v>
      </c>
      <c r="B203" t="s">
        <v>54</v>
      </c>
      <c r="C203" t="s">
        <v>38</v>
      </c>
      <c r="D203" t="s">
        <v>14</v>
      </c>
      <c r="E203" t="s">
        <v>63</v>
      </c>
      <c r="F203" t="s">
        <v>28</v>
      </c>
      <c r="G203" t="s">
        <v>45</v>
      </c>
      <c r="H203" t="s">
        <v>29</v>
      </c>
      <c r="I203">
        <v>1</v>
      </c>
      <c r="J203">
        <v>32.770000000000003</v>
      </c>
      <c r="K203">
        <v>32.770000000000003</v>
      </c>
      <c r="L203" t="s">
        <v>585</v>
      </c>
      <c r="M203" t="s">
        <v>587</v>
      </c>
    </row>
    <row r="204" spans="1:13" x14ac:dyDescent="0.35">
      <c r="A204" t="s">
        <v>273</v>
      </c>
      <c r="B204" t="s">
        <v>111</v>
      </c>
      <c r="C204" t="s">
        <v>58</v>
      </c>
      <c r="D204" t="s">
        <v>22</v>
      </c>
      <c r="E204" t="s">
        <v>63</v>
      </c>
      <c r="F204" t="s">
        <v>47</v>
      </c>
      <c r="G204" t="s">
        <v>17</v>
      </c>
      <c r="H204" t="s">
        <v>29</v>
      </c>
      <c r="I204">
        <v>2</v>
      </c>
      <c r="J204">
        <v>110.65</v>
      </c>
      <c r="K204">
        <v>221.3</v>
      </c>
      <c r="L204" t="s">
        <v>585</v>
      </c>
      <c r="M204" t="s">
        <v>587</v>
      </c>
    </row>
    <row r="205" spans="1:13" x14ac:dyDescent="0.35">
      <c r="A205" t="s">
        <v>385</v>
      </c>
      <c r="B205" t="s">
        <v>118</v>
      </c>
      <c r="C205" t="s">
        <v>58</v>
      </c>
      <c r="D205" t="s">
        <v>22</v>
      </c>
      <c r="E205" t="s">
        <v>15</v>
      </c>
      <c r="F205" t="s">
        <v>23</v>
      </c>
      <c r="G205" t="s">
        <v>24</v>
      </c>
      <c r="H205" t="s">
        <v>29</v>
      </c>
      <c r="I205">
        <v>6</v>
      </c>
      <c r="J205">
        <v>113.63</v>
      </c>
      <c r="K205">
        <v>681.78</v>
      </c>
      <c r="L205" t="s">
        <v>585</v>
      </c>
      <c r="M205" t="s">
        <v>586</v>
      </c>
    </row>
    <row r="206" spans="1:13" x14ac:dyDescent="0.35">
      <c r="A206" t="s">
        <v>275</v>
      </c>
      <c r="B206" t="s">
        <v>26</v>
      </c>
      <c r="C206" t="s">
        <v>66</v>
      </c>
      <c r="D206" t="s">
        <v>67</v>
      </c>
      <c r="E206" t="s">
        <v>44</v>
      </c>
      <c r="F206" t="s">
        <v>16</v>
      </c>
      <c r="G206" t="s">
        <v>24</v>
      </c>
      <c r="H206" t="s">
        <v>29</v>
      </c>
      <c r="I206">
        <v>2</v>
      </c>
      <c r="J206">
        <v>41.37</v>
      </c>
      <c r="K206">
        <v>82.74</v>
      </c>
      <c r="L206" t="s">
        <v>585</v>
      </c>
      <c r="M206" t="s">
        <v>587</v>
      </c>
    </row>
    <row r="207" spans="1:13" x14ac:dyDescent="0.35">
      <c r="A207" t="s">
        <v>276</v>
      </c>
      <c r="B207" t="s">
        <v>107</v>
      </c>
      <c r="C207" t="s">
        <v>58</v>
      </c>
      <c r="D207" t="s">
        <v>22</v>
      </c>
      <c r="E207" t="s">
        <v>44</v>
      </c>
      <c r="F207" t="s">
        <v>40</v>
      </c>
      <c r="G207" t="s">
        <v>74</v>
      </c>
      <c r="H207" t="s">
        <v>29</v>
      </c>
      <c r="I207">
        <v>6</v>
      </c>
      <c r="J207">
        <v>113.8</v>
      </c>
      <c r="K207">
        <v>682.8</v>
      </c>
      <c r="L207" t="s">
        <v>585</v>
      </c>
      <c r="M207" t="s">
        <v>586</v>
      </c>
    </row>
    <row r="208" spans="1:13" x14ac:dyDescent="0.35">
      <c r="A208" t="s">
        <v>277</v>
      </c>
      <c r="B208" t="s">
        <v>42</v>
      </c>
      <c r="C208" t="s">
        <v>38</v>
      </c>
      <c r="D208" t="s">
        <v>14</v>
      </c>
      <c r="E208" t="s">
        <v>39</v>
      </c>
      <c r="F208" t="s">
        <v>40</v>
      </c>
      <c r="G208" t="s">
        <v>48</v>
      </c>
      <c r="H208" t="s">
        <v>29</v>
      </c>
      <c r="I208">
        <v>1</v>
      </c>
      <c r="J208">
        <v>41.42</v>
      </c>
      <c r="K208">
        <v>41.42</v>
      </c>
      <c r="L208" t="s">
        <v>585</v>
      </c>
      <c r="M208" t="s">
        <v>587</v>
      </c>
    </row>
    <row r="209" spans="1:13" x14ac:dyDescent="0.35">
      <c r="A209" t="s">
        <v>383</v>
      </c>
      <c r="B209" t="s">
        <v>84</v>
      </c>
      <c r="C209" t="s">
        <v>43</v>
      </c>
      <c r="D209" t="s">
        <v>33</v>
      </c>
      <c r="E209" t="s">
        <v>63</v>
      </c>
      <c r="F209" t="s">
        <v>28</v>
      </c>
      <c r="G209" t="s">
        <v>48</v>
      </c>
      <c r="H209" t="s">
        <v>29</v>
      </c>
      <c r="I209">
        <v>3</v>
      </c>
      <c r="J209">
        <v>4.79</v>
      </c>
      <c r="K209">
        <v>14.37</v>
      </c>
      <c r="L209" t="s">
        <v>585</v>
      </c>
      <c r="M209" t="s">
        <v>587</v>
      </c>
    </row>
    <row r="210" spans="1:13" x14ac:dyDescent="0.35">
      <c r="A210" t="s">
        <v>382</v>
      </c>
      <c r="B210" t="s">
        <v>90</v>
      </c>
      <c r="C210" t="s">
        <v>58</v>
      </c>
      <c r="D210" t="s">
        <v>22</v>
      </c>
      <c r="E210" t="s">
        <v>44</v>
      </c>
      <c r="F210" t="s">
        <v>40</v>
      </c>
      <c r="G210" t="s">
        <v>35</v>
      </c>
      <c r="H210" t="s">
        <v>29</v>
      </c>
      <c r="I210">
        <v>4</v>
      </c>
      <c r="J210">
        <v>133.91999999999999</v>
      </c>
      <c r="K210">
        <v>535.67999999999995</v>
      </c>
      <c r="L210" t="s">
        <v>585</v>
      </c>
      <c r="M210" t="s">
        <v>587</v>
      </c>
    </row>
    <row r="211" spans="1:13" x14ac:dyDescent="0.35">
      <c r="A211" t="s">
        <v>280</v>
      </c>
      <c r="B211" t="s">
        <v>57</v>
      </c>
      <c r="C211" t="s">
        <v>43</v>
      </c>
      <c r="D211" t="s">
        <v>33</v>
      </c>
      <c r="E211" t="s">
        <v>39</v>
      </c>
      <c r="F211" t="s">
        <v>16</v>
      </c>
      <c r="G211" t="s">
        <v>48</v>
      </c>
      <c r="H211" t="s">
        <v>29</v>
      </c>
      <c r="I211">
        <v>3</v>
      </c>
      <c r="J211">
        <v>5.3</v>
      </c>
      <c r="K211">
        <v>15.9</v>
      </c>
      <c r="L211" t="s">
        <v>585</v>
      </c>
      <c r="M211" t="s">
        <v>587</v>
      </c>
    </row>
    <row r="212" spans="1:13" x14ac:dyDescent="0.35">
      <c r="A212" t="s">
        <v>374</v>
      </c>
      <c r="B212" t="s">
        <v>102</v>
      </c>
      <c r="C212" t="s">
        <v>38</v>
      </c>
      <c r="D212" t="s">
        <v>14</v>
      </c>
      <c r="E212" t="s">
        <v>39</v>
      </c>
      <c r="F212" t="s">
        <v>28</v>
      </c>
      <c r="G212" t="s">
        <v>45</v>
      </c>
      <c r="H212" t="s">
        <v>29</v>
      </c>
      <c r="I212">
        <v>8</v>
      </c>
      <c r="J212">
        <v>34.89</v>
      </c>
      <c r="K212">
        <v>279.12</v>
      </c>
      <c r="L212" t="s">
        <v>585</v>
      </c>
      <c r="M212" t="s">
        <v>586</v>
      </c>
    </row>
    <row r="213" spans="1:13" x14ac:dyDescent="0.35">
      <c r="A213" t="s">
        <v>282</v>
      </c>
      <c r="B213" t="s">
        <v>97</v>
      </c>
      <c r="C213" t="s">
        <v>32</v>
      </c>
      <c r="D213" t="s">
        <v>33</v>
      </c>
      <c r="E213" t="s">
        <v>39</v>
      </c>
      <c r="F213" t="s">
        <v>23</v>
      </c>
      <c r="G213" t="s">
        <v>48</v>
      </c>
      <c r="H213" t="s">
        <v>29</v>
      </c>
      <c r="I213">
        <v>8</v>
      </c>
      <c r="J213">
        <v>3.3</v>
      </c>
      <c r="K213">
        <v>26.4</v>
      </c>
      <c r="L213" t="s">
        <v>585</v>
      </c>
      <c r="M213" t="s">
        <v>586</v>
      </c>
    </row>
    <row r="214" spans="1:13" x14ac:dyDescent="0.35">
      <c r="A214" t="s">
        <v>372</v>
      </c>
      <c r="B214" t="s">
        <v>50</v>
      </c>
      <c r="C214" t="s">
        <v>27</v>
      </c>
      <c r="D214" t="s">
        <v>14</v>
      </c>
      <c r="E214" t="s">
        <v>39</v>
      </c>
      <c r="F214" t="s">
        <v>47</v>
      </c>
      <c r="G214" t="s">
        <v>24</v>
      </c>
      <c r="H214" t="s">
        <v>29</v>
      </c>
      <c r="I214">
        <v>3</v>
      </c>
      <c r="J214">
        <v>23.7</v>
      </c>
      <c r="K214">
        <v>71.099999999999994</v>
      </c>
      <c r="L214" t="s">
        <v>585</v>
      </c>
      <c r="M214" t="s">
        <v>587</v>
      </c>
    </row>
    <row r="215" spans="1:13" x14ac:dyDescent="0.35">
      <c r="A215" t="s">
        <v>371</v>
      </c>
      <c r="B215" t="s">
        <v>60</v>
      </c>
      <c r="C215" t="s">
        <v>61</v>
      </c>
      <c r="D215" t="s">
        <v>14</v>
      </c>
      <c r="E215" t="s">
        <v>44</v>
      </c>
      <c r="F215" t="s">
        <v>47</v>
      </c>
      <c r="G215" t="s">
        <v>48</v>
      </c>
      <c r="H215" t="s">
        <v>29</v>
      </c>
      <c r="I215">
        <v>5</v>
      </c>
      <c r="J215">
        <v>210.57</v>
      </c>
      <c r="K215">
        <v>1052.8499999999999</v>
      </c>
      <c r="L215" t="s">
        <v>588</v>
      </c>
      <c r="M215" t="s">
        <v>586</v>
      </c>
    </row>
    <row r="216" spans="1:13" x14ac:dyDescent="0.35">
      <c r="A216" t="s">
        <v>285</v>
      </c>
      <c r="B216" t="s">
        <v>88</v>
      </c>
      <c r="C216" t="s">
        <v>38</v>
      </c>
      <c r="D216" t="s">
        <v>14</v>
      </c>
      <c r="E216" t="s">
        <v>63</v>
      </c>
      <c r="F216" t="s">
        <v>23</v>
      </c>
      <c r="G216" t="s">
        <v>17</v>
      </c>
      <c r="H216" t="s">
        <v>29</v>
      </c>
      <c r="I216">
        <v>2</v>
      </c>
      <c r="J216">
        <v>39.86</v>
      </c>
      <c r="K216">
        <v>79.72</v>
      </c>
      <c r="L216" t="s">
        <v>585</v>
      </c>
      <c r="M216" t="s">
        <v>587</v>
      </c>
    </row>
    <row r="217" spans="1:13" x14ac:dyDescent="0.35">
      <c r="A217" t="s">
        <v>286</v>
      </c>
      <c r="B217" t="s">
        <v>31</v>
      </c>
      <c r="C217" t="s">
        <v>66</v>
      </c>
      <c r="D217" t="s">
        <v>67</v>
      </c>
      <c r="E217" t="s">
        <v>44</v>
      </c>
      <c r="F217" t="s">
        <v>28</v>
      </c>
      <c r="G217" t="s">
        <v>48</v>
      </c>
      <c r="H217" t="s">
        <v>29</v>
      </c>
      <c r="I217">
        <v>8</v>
      </c>
      <c r="J217">
        <v>41.67</v>
      </c>
      <c r="K217">
        <v>333.36</v>
      </c>
      <c r="L217" t="s">
        <v>585</v>
      </c>
      <c r="M217" t="s">
        <v>586</v>
      </c>
    </row>
    <row r="218" spans="1:13" x14ac:dyDescent="0.35">
      <c r="A218" t="s">
        <v>370</v>
      </c>
      <c r="B218" t="s">
        <v>124</v>
      </c>
      <c r="C218" t="s">
        <v>32</v>
      </c>
      <c r="D218" t="s">
        <v>33</v>
      </c>
      <c r="E218" t="s">
        <v>15</v>
      </c>
      <c r="F218" t="s">
        <v>16</v>
      </c>
      <c r="G218" t="s">
        <v>48</v>
      </c>
      <c r="H218" t="s">
        <v>29</v>
      </c>
      <c r="I218">
        <v>5</v>
      </c>
      <c r="J218">
        <v>2.76</v>
      </c>
      <c r="K218">
        <v>13.8</v>
      </c>
      <c r="L218" t="s">
        <v>585</v>
      </c>
      <c r="M218" t="s">
        <v>586</v>
      </c>
    </row>
    <row r="219" spans="1:13" x14ac:dyDescent="0.35">
      <c r="A219" t="s">
        <v>288</v>
      </c>
      <c r="B219" t="s">
        <v>107</v>
      </c>
      <c r="C219" t="s">
        <v>55</v>
      </c>
      <c r="D219" t="s">
        <v>14</v>
      </c>
      <c r="E219" t="s">
        <v>63</v>
      </c>
      <c r="F219" t="s">
        <v>34</v>
      </c>
      <c r="G219" t="s">
        <v>24</v>
      </c>
      <c r="H219" t="s">
        <v>29</v>
      </c>
      <c r="I219">
        <v>9</v>
      </c>
      <c r="J219">
        <v>725.27</v>
      </c>
      <c r="K219">
        <v>6527.43</v>
      </c>
      <c r="L219" t="s">
        <v>588</v>
      </c>
      <c r="M219" t="s">
        <v>586</v>
      </c>
    </row>
    <row r="220" spans="1:13" x14ac:dyDescent="0.35">
      <c r="A220" t="s">
        <v>289</v>
      </c>
      <c r="B220" t="s">
        <v>107</v>
      </c>
      <c r="C220" t="s">
        <v>38</v>
      </c>
      <c r="D220" t="s">
        <v>14</v>
      </c>
      <c r="E220" t="s">
        <v>63</v>
      </c>
      <c r="F220" t="s">
        <v>47</v>
      </c>
      <c r="G220" t="s">
        <v>17</v>
      </c>
      <c r="H220" t="s">
        <v>29</v>
      </c>
      <c r="I220">
        <v>1</v>
      </c>
      <c r="J220">
        <v>33.229999999999997</v>
      </c>
      <c r="K220">
        <v>33.229999999999997</v>
      </c>
      <c r="L220" t="s">
        <v>585</v>
      </c>
      <c r="M220" t="s">
        <v>587</v>
      </c>
    </row>
    <row r="221" spans="1:13" x14ac:dyDescent="0.35">
      <c r="A221" t="s">
        <v>368</v>
      </c>
      <c r="B221" t="s">
        <v>26</v>
      </c>
      <c r="C221" t="s">
        <v>21</v>
      </c>
      <c r="D221" t="s">
        <v>22</v>
      </c>
      <c r="E221" t="s">
        <v>63</v>
      </c>
      <c r="F221" t="s">
        <v>40</v>
      </c>
      <c r="G221" t="s">
        <v>24</v>
      </c>
      <c r="H221" t="s">
        <v>29</v>
      </c>
      <c r="I221">
        <v>2</v>
      </c>
      <c r="J221">
        <v>280.99</v>
      </c>
      <c r="K221">
        <v>561.98</v>
      </c>
      <c r="L221" t="s">
        <v>585</v>
      </c>
      <c r="M221" t="s">
        <v>587</v>
      </c>
    </row>
    <row r="222" spans="1:13" x14ac:dyDescent="0.35">
      <c r="A222" t="s">
        <v>291</v>
      </c>
      <c r="B222" t="s">
        <v>37</v>
      </c>
      <c r="C222" t="s">
        <v>27</v>
      </c>
      <c r="D222" t="s">
        <v>14</v>
      </c>
      <c r="E222" t="s">
        <v>39</v>
      </c>
      <c r="F222" t="s">
        <v>47</v>
      </c>
      <c r="G222" t="s">
        <v>17</v>
      </c>
      <c r="H222" t="s">
        <v>29</v>
      </c>
      <c r="I222">
        <v>6</v>
      </c>
      <c r="J222">
        <v>20.74</v>
      </c>
      <c r="K222">
        <v>124.44</v>
      </c>
      <c r="L222" t="s">
        <v>585</v>
      </c>
      <c r="M222" t="s">
        <v>586</v>
      </c>
    </row>
    <row r="223" spans="1:13" x14ac:dyDescent="0.35">
      <c r="A223" t="s">
        <v>367</v>
      </c>
      <c r="B223" t="s">
        <v>71</v>
      </c>
      <c r="C223" t="s">
        <v>21</v>
      </c>
      <c r="D223" t="s">
        <v>22</v>
      </c>
      <c r="E223" t="s">
        <v>63</v>
      </c>
      <c r="F223" t="s">
        <v>16</v>
      </c>
      <c r="G223" t="s">
        <v>48</v>
      </c>
      <c r="H223" t="s">
        <v>29</v>
      </c>
      <c r="I223">
        <v>9</v>
      </c>
      <c r="J223">
        <v>267.73</v>
      </c>
      <c r="K223">
        <v>2409.5700000000002</v>
      </c>
      <c r="L223" t="s">
        <v>588</v>
      </c>
      <c r="M223" t="s">
        <v>586</v>
      </c>
    </row>
    <row r="224" spans="1:13" x14ac:dyDescent="0.35">
      <c r="A224" t="s">
        <v>293</v>
      </c>
      <c r="B224" t="s">
        <v>128</v>
      </c>
      <c r="C224" t="s">
        <v>66</v>
      </c>
      <c r="D224" t="s">
        <v>67</v>
      </c>
      <c r="E224" t="s">
        <v>39</v>
      </c>
      <c r="F224" t="s">
        <v>28</v>
      </c>
      <c r="G224" t="s">
        <v>35</v>
      </c>
      <c r="H224" t="s">
        <v>29</v>
      </c>
      <c r="I224">
        <v>1</v>
      </c>
      <c r="J224">
        <v>47.55</v>
      </c>
      <c r="K224">
        <v>47.55</v>
      </c>
      <c r="L224" t="s">
        <v>585</v>
      </c>
      <c r="M224" t="s">
        <v>587</v>
      </c>
    </row>
    <row r="225" spans="1:13" x14ac:dyDescent="0.35">
      <c r="A225" t="s">
        <v>366</v>
      </c>
      <c r="B225" t="s">
        <v>65</v>
      </c>
      <c r="C225" t="s">
        <v>13</v>
      </c>
      <c r="D225" t="s">
        <v>14</v>
      </c>
      <c r="E225" t="s">
        <v>63</v>
      </c>
      <c r="F225" t="s">
        <v>23</v>
      </c>
      <c r="G225" t="s">
        <v>48</v>
      </c>
      <c r="H225" t="s">
        <v>29</v>
      </c>
      <c r="I225">
        <v>7</v>
      </c>
      <c r="J225">
        <v>153.66999999999999</v>
      </c>
      <c r="K225">
        <v>1075.69</v>
      </c>
      <c r="L225" t="s">
        <v>588</v>
      </c>
      <c r="M225" t="s">
        <v>586</v>
      </c>
    </row>
    <row r="226" spans="1:13" x14ac:dyDescent="0.35">
      <c r="A226" t="s">
        <v>364</v>
      </c>
      <c r="B226" t="s">
        <v>84</v>
      </c>
      <c r="C226" t="s">
        <v>38</v>
      </c>
      <c r="D226" t="s">
        <v>14</v>
      </c>
      <c r="E226" t="s">
        <v>39</v>
      </c>
      <c r="F226" t="s">
        <v>28</v>
      </c>
      <c r="G226" t="s">
        <v>48</v>
      </c>
      <c r="H226" t="s">
        <v>29</v>
      </c>
      <c r="I226">
        <v>2</v>
      </c>
      <c r="J226">
        <v>36.94</v>
      </c>
      <c r="K226">
        <v>73.88</v>
      </c>
      <c r="L226" t="s">
        <v>585</v>
      </c>
      <c r="M226" t="s">
        <v>587</v>
      </c>
    </row>
    <row r="227" spans="1:13" x14ac:dyDescent="0.35">
      <c r="A227" t="s">
        <v>296</v>
      </c>
      <c r="B227" t="s">
        <v>50</v>
      </c>
      <c r="C227" t="s">
        <v>27</v>
      </c>
      <c r="D227" t="s">
        <v>14</v>
      </c>
      <c r="E227" t="s">
        <v>63</v>
      </c>
      <c r="F227" t="s">
        <v>40</v>
      </c>
      <c r="G227" t="s">
        <v>24</v>
      </c>
      <c r="H227" t="s">
        <v>29</v>
      </c>
      <c r="I227">
        <v>2</v>
      </c>
      <c r="J227">
        <v>20.99</v>
      </c>
      <c r="K227">
        <v>41.98</v>
      </c>
      <c r="L227" t="s">
        <v>585</v>
      </c>
      <c r="M227" t="s">
        <v>587</v>
      </c>
    </row>
    <row r="228" spans="1:13" x14ac:dyDescent="0.35">
      <c r="A228" t="s">
        <v>297</v>
      </c>
      <c r="B228" t="s">
        <v>31</v>
      </c>
      <c r="C228" t="s">
        <v>58</v>
      </c>
      <c r="D228" t="s">
        <v>22</v>
      </c>
      <c r="E228" t="s">
        <v>44</v>
      </c>
      <c r="F228" t="s">
        <v>40</v>
      </c>
      <c r="G228" t="s">
        <v>17</v>
      </c>
      <c r="H228" t="s">
        <v>29</v>
      </c>
      <c r="I228">
        <v>5</v>
      </c>
      <c r="J228">
        <v>131.81</v>
      </c>
      <c r="K228">
        <v>659.05</v>
      </c>
      <c r="L228" t="s">
        <v>585</v>
      </c>
      <c r="M228" t="s">
        <v>586</v>
      </c>
    </row>
    <row r="229" spans="1:13" x14ac:dyDescent="0.35">
      <c r="A229" t="s">
        <v>298</v>
      </c>
      <c r="B229" t="s">
        <v>54</v>
      </c>
      <c r="C229" t="s">
        <v>21</v>
      </c>
      <c r="D229" t="s">
        <v>22</v>
      </c>
      <c r="E229" t="s">
        <v>39</v>
      </c>
      <c r="F229" t="s">
        <v>23</v>
      </c>
      <c r="G229" t="s">
        <v>24</v>
      </c>
      <c r="H229" t="s">
        <v>29</v>
      </c>
      <c r="I229">
        <v>3</v>
      </c>
      <c r="J229">
        <v>273.74</v>
      </c>
      <c r="K229">
        <v>821.22</v>
      </c>
      <c r="L229" t="s">
        <v>585</v>
      </c>
      <c r="M229" t="s">
        <v>587</v>
      </c>
    </row>
    <row r="230" spans="1:13" x14ac:dyDescent="0.35">
      <c r="A230" t="s">
        <v>299</v>
      </c>
      <c r="B230" t="s">
        <v>69</v>
      </c>
      <c r="C230" t="s">
        <v>55</v>
      </c>
      <c r="D230" t="s">
        <v>14</v>
      </c>
      <c r="E230" t="s">
        <v>15</v>
      </c>
      <c r="F230" t="s">
        <v>16</v>
      </c>
      <c r="G230" t="s">
        <v>17</v>
      </c>
      <c r="H230" t="s">
        <v>29</v>
      </c>
      <c r="I230">
        <v>2</v>
      </c>
      <c r="J230">
        <v>790.51</v>
      </c>
      <c r="K230">
        <v>1581.02</v>
      </c>
      <c r="L230" t="s">
        <v>588</v>
      </c>
      <c r="M230" t="s">
        <v>587</v>
      </c>
    </row>
    <row r="231" spans="1:13" x14ac:dyDescent="0.35">
      <c r="A231" t="s">
        <v>300</v>
      </c>
      <c r="B231" t="s">
        <v>118</v>
      </c>
      <c r="C231" t="s">
        <v>13</v>
      </c>
      <c r="D231" t="s">
        <v>14</v>
      </c>
      <c r="E231" t="s">
        <v>44</v>
      </c>
      <c r="F231" t="s">
        <v>23</v>
      </c>
      <c r="G231" t="s">
        <v>24</v>
      </c>
      <c r="H231" t="s">
        <v>29</v>
      </c>
      <c r="I231">
        <v>2</v>
      </c>
      <c r="J231">
        <v>148.94</v>
      </c>
      <c r="K231">
        <v>297.88</v>
      </c>
      <c r="L231" t="s">
        <v>585</v>
      </c>
      <c r="M231" t="s">
        <v>587</v>
      </c>
    </row>
    <row r="232" spans="1:13" x14ac:dyDescent="0.35">
      <c r="A232" t="s">
        <v>301</v>
      </c>
      <c r="B232" t="s">
        <v>88</v>
      </c>
      <c r="C232" t="s">
        <v>66</v>
      </c>
      <c r="D232" t="s">
        <v>67</v>
      </c>
      <c r="E232" t="s">
        <v>63</v>
      </c>
      <c r="F232" t="s">
        <v>23</v>
      </c>
      <c r="G232" t="s">
        <v>45</v>
      </c>
      <c r="H232" t="s">
        <v>29</v>
      </c>
      <c r="I232">
        <v>7</v>
      </c>
      <c r="J232">
        <v>41.87</v>
      </c>
      <c r="K232">
        <v>293.08999999999997</v>
      </c>
      <c r="L232" t="s">
        <v>585</v>
      </c>
      <c r="M232" t="s">
        <v>586</v>
      </c>
    </row>
    <row r="233" spans="1:13" x14ac:dyDescent="0.35">
      <c r="A233" t="s">
        <v>362</v>
      </c>
      <c r="B233" t="s">
        <v>31</v>
      </c>
      <c r="C233" t="s">
        <v>21</v>
      </c>
      <c r="D233" t="s">
        <v>22</v>
      </c>
      <c r="E233" t="s">
        <v>15</v>
      </c>
      <c r="F233" t="s">
        <v>34</v>
      </c>
      <c r="G233" t="s">
        <v>35</v>
      </c>
      <c r="H233" t="s">
        <v>29</v>
      </c>
      <c r="I233">
        <v>5</v>
      </c>
      <c r="J233">
        <v>287.68</v>
      </c>
      <c r="K233">
        <v>1438.4</v>
      </c>
      <c r="L233" t="s">
        <v>588</v>
      </c>
      <c r="M233" t="s">
        <v>586</v>
      </c>
    </row>
    <row r="234" spans="1:13" x14ac:dyDescent="0.35">
      <c r="A234" t="s">
        <v>303</v>
      </c>
      <c r="B234" t="s">
        <v>147</v>
      </c>
      <c r="C234" t="s">
        <v>55</v>
      </c>
      <c r="D234" t="s">
        <v>14</v>
      </c>
      <c r="E234" t="s">
        <v>39</v>
      </c>
      <c r="F234" t="s">
        <v>28</v>
      </c>
      <c r="G234" t="s">
        <v>74</v>
      </c>
      <c r="H234" t="s">
        <v>29</v>
      </c>
      <c r="I234">
        <v>6</v>
      </c>
      <c r="J234">
        <v>646.54</v>
      </c>
      <c r="K234">
        <v>3879.24</v>
      </c>
      <c r="L234" t="s">
        <v>588</v>
      </c>
      <c r="M234" t="s">
        <v>586</v>
      </c>
    </row>
    <row r="235" spans="1:13" x14ac:dyDescent="0.35">
      <c r="A235" t="s">
        <v>360</v>
      </c>
      <c r="B235" t="s">
        <v>77</v>
      </c>
      <c r="C235" t="s">
        <v>21</v>
      </c>
      <c r="D235" t="s">
        <v>22</v>
      </c>
      <c r="E235" t="s">
        <v>44</v>
      </c>
      <c r="F235" t="s">
        <v>34</v>
      </c>
      <c r="G235" t="s">
        <v>74</v>
      </c>
      <c r="H235" t="s">
        <v>29</v>
      </c>
      <c r="I235">
        <v>6</v>
      </c>
      <c r="J235">
        <v>273.37</v>
      </c>
      <c r="K235">
        <v>1640.22</v>
      </c>
      <c r="L235" t="s">
        <v>588</v>
      </c>
      <c r="M235" t="s">
        <v>586</v>
      </c>
    </row>
    <row r="236" spans="1:13" x14ac:dyDescent="0.35">
      <c r="A236" t="s">
        <v>357</v>
      </c>
      <c r="B236" t="s">
        <v>42</v>
      </c>
      <c r="C236" t="s">
        <v>55</v>
      </c>
      <c r="D236" t="s">
        <v>14</v>
      </c>
      <c r="E236" t="s">
        <v>39</v>
      </c>
      <c r="F236" t="s">
        <v>34</v>
      </c>
      <c r="G236" t="s">
        <v>74</v>
      </c>
      <c r="H236" t="s">
        <v>29</v>
      </c>
      <c r="I236">
        <v>6</v>
      </c>
      <c r="J236">
        <v>769.92</v>
      </c>
      <c r="K236">
        <v>4619.5200000000004</v>
      </c>
      <c r="L236" t="s">
        <v>588</v>
      </c>
      <c r="M236" t="s">
        <v>586</v>
      </c>
    </row>
    <row r="237" spans="1:13" x14ac:dyDescent="0.35">
      <c r="A237" t="s">
        <v>356</v>
      </c>
      <c r="B237" t="s">
        <v>124</v>
      </c>
      <c r="C237" t="s">
        <v>13</v>
      </c>
      <c r="D237" t="s">
        <v>14</v>
      </c>
      <c r="E237" t="s">
        <v>63</v>
      </c>
      <c r="F237" t="s">
        <v>23</v>
      </c>
      <c r="G237" t="s">
        <v>45</v>
      </c>
      <c r="H237" t="s">
        <v>29</v>
      </c>
      <c r="I237">
        <v>9</v>
      </c>
      <c r="J237">
        <v>138.66</v>
      </c>
      <c r="K237">
        <v>1247.94</v>
      </c>
      <c r="L237" t="s">
        <v>588</v>
      </c>
      <c r="M237" t="s">
        <v>586</v>
      </c>
    </row>
    <row r="238" spans="1:13" x14ac:dyDescent="0.35">
      <c r="A238" t="s">
        <v>307</v>
      </c>
      <c r="B238" t="s">
        <v>31</v>
      </c>
      <c r="C238" t="s">
        <v>13</v>
      </c>
      <c r="D238" t="s">
        <v>14</v>
      </c>
      <c r="E238" t="s">
        <v>15</v>
      </c>
      <c r="F238" t="s">
        <v>34</v>
      </c>
      <c r="G238" t="s">
        <v>48</v>
      </c>
      <c r="H238" t="s">
        <v>29</v>
      </c>
      <c r="I238">
        <v>8</v>
      </c>
      <c r="J238">
        <v>178.68</v>
      </c>
      <c r="K238">
        <v>1429.44</v>
      </c>
      <c r="L238" t="s">
        <v>588</v>
      </c>
      <c r="M238" t="s">
        <v>586</v>
      </c>
    </row>
    <row r="239" spans="1:13" x14ac:dyDescent="0.35">
      <c r="A239" t="s">
        <v>353</v>
      </c>
      <c r="B239" t="s">
        <v>37</v>
      </c>
      <c r="C239" t="s">
        <v>58</v>
      </c>
      <c r="D239" t="s">
        <v>22</v>
      </c>
      <c r="E239" t="s">
        <v>15</v>
      </c>
      <c r="F239" t="s">
        <v>47</v>
      </c>
      <c r="G239" t="s">
        <v>24</v>
      </c>
      <c r="H239" t="s">
        <v>29</v>
      </c>
      <c r="I239">
        <v>8</v>
      </c>
      <c r="J239">
        <v>110.28</v>
      </c>
      <c r="K239">
        <v>882.24</v>
      </c>
      <c r="L239" t="s">
        <v>585</v>
      </c>
      <c r="M239" t="s">
        <v>586</v>
      </c>
    </row>
    <row r="240" spans="1:13" x14ac:dyDescent="0.35">
      <c r="A240" t="s">
        <v>309</v>
      </c>
      <c r="B240" t="s">
        <v>90</v>
      </c>
      <c r="C240" t="s">
        <v>27</v>
      </c>
      <c r="D240" t="s">
        <v>14</v>
      </c>
      <c r="E240" t="s">
        <v>63</v>
      </c>
      <c r="F240" t="s">
        <v>34</v>
      </c>
      <c r="G240" t="s">
        <v>45</v>
      </c>
      <c r="H240" t="s">
        <v>29</v>
      </c>
      <c r="I240">
        <v>10</v>
      </c>
      <c r="J240">
        <v>21.14</v>
      </c>
      <c r="K240">
        <v>211.4</v>
      </c>
      <c r="L240" t="s">
        <v>585</v>
      </c>
      <c r="M240" t="s">
        <v>586</v>
      </c>
    </row>
    <row r="241" spans="1:13" x14ac:dyDescent="0.35">
      <c r="A241" t="s">
        <v>310</v>
      </c>
      <c r="B241" t="s">
        <v>102</v>
      </c>
      <c r="C241" t="s">
        <v>13</v>
      </c>
      <c r="D241" t="s">
        <v>14</v>
      </c>
      <c r="E241" t="s">
        <v>15</v>
      </c>
      <c r="F241" t="s">
        <v>47</v>
      </c>
      <c r="G241" t="s">
        <v>35</v>
      </c>
      <c r="H241" t="s">
        <v>29</v>
      </c>
      <c r="I241">
        <v>9</v>
      </c>
      <c r="J241">
        <v>179.05</v>
      </c>
      <c r="K241">
        <v>1611.45</v>
      </c>
      <c r="L241" t="s">
        <v>588</v>
      </c>
      <c r="M241" t="s">
        <v>586</v>
      </c>
    </row>
    <row r="242" spans="1:13" x14ac:dyDescent="0.35">
      <c r="A242" t="s">
        <v>311</v>
      </c>
      <c r="B242" t="s">
        <v>73</v>
      </c>
      <c r="C242" t="s">
        <v>61</v>
      </c>
      <c r="D242" t="s">
        <v>14</v>
      </c>
      <c r="E242" t="s">
        <v>15</v>
      </c>
      <c r="F242" t="s">
        <v>23</v>
      </c>
      <c r="G242" t="s">
        <v>45</v>
      </c>
      <c r="H242" t="s">
        <v>29</v>
      </c>
      <c r="I242">
        <v>7</v>
      </c>
      <c r="J242">
        <v>200.28</v>
      </c>
      <c r="K242">
        <v>1401.96</v>
      </c>
      <c r="L242" t="s">
        <v>588</v>
      </c>
      <c r="M242" t="s">
        <v>586</v>
      </c>
    </row>
    <row r="243" spans="1:13" x14ac:dyDescent="0.35">
      <c r="A243" t="s">
        <v>350</v>
      </c>
      <c r="B243" t="s">
        <v>90</v>
      </c>
      <c r="C243" t="s">
        <v>61</v>
      </c>
      <c r="D243" t="s">
        <v>14</v>
      </c>
      <c r="E243" t="s">
        <v>15</v>
      </c>
      <c r="F243" t="s">
        <v>40</v>
      </c>
      <c r="G243" t="s">
        <v>35</v>
      </c>
      <c r="H243" t="s">
        <v>29</v>
      </c>
      <c r="I243">
        <v>4</v>
      </c>
      <c r="J243">
        <v>206.7</v>
      </c>
      <c r="K243">
        <v>826.8</v>
      </c>
      <c r="L243" t="s">
        <v>585</v>
      </c>
      <c r="M243" t="s">
        <v>587</v>
      </c>
    </row>
    <row r="244" spans="1:13" x14ac:dyDescent="0.35">
      <c r="A244" t="s">
        <v>344</v>
      </c>
      <c r="B244" t="s">
        <v>42</v>
      </c>
      <c r="C244" t="s">
        <v>66</v>
      </c>
      <c r="D244" t="s">
        <v>67</v>
      </c>
      <c r="E244" t="s">
        <v>39</v>
      </c>
      <c r="F244" t="s">
        <v>34</v>
      </c>
      <c r="G244" t="s">
        <v>74</v>
      </c>
      <c r="H244" t="s">
        <v>29</v>
      </c>
      <c r="I244">
        <v>2</v>
      </c>
      <c r="J244">
        <v>42.76</v>
      </c>
      <c r="K244">
        <v>85.52</v>
      </c>
      <c r="L244" t="s">
        <v>585</v>
      </c>
      <c r="M244" t="s">
        <v>587</v>
      </c>
    </row>
    <row r="245" spans="1:13" x14ac:dyDescent="0.35">
      <c r="A245" t="s">
        <v>342</v>
      </c>
      <c r="B245" t="s">
        <v>31</v>
      </c>
      <c r="C245" t="s">
        <v>58</v>
      </c>
      <c r="D245" t="s">
        <v>22</v>
      </c>
      <c r="E245" t="s">
        <v>63</v>
      </c>
      <c r="F245" t="s">
        <v>28</v>
      </c>
      <c r="G245" t="s">
        <v>45</v>
      </c>
      <c r="H245" t="s">
        <v>29</v>
      </c>
      <c r="I245">
        <v>7</v>
      </c>
      <c r="J245">
        <v>118.09</v>
      </c>
      <c r="K245">
        <v>826.63</v>
      </c>
      <c r="L245" t="s">
        <v>585</v>
      </c>
      <c r="M245" t="s">
        <v>586</v>
      </c>
    </row>
    <row r="246" spans="1:13" x14ac:dyDescent="0.35">
      <c r="A246" t="s">
        <v>341</v>
      </c>
      <c r="B246" t="s">
        <v>12</v>
      </c>
      <c r="C246" t="s">
        <v>58</v>
      </c>
      <c r="D246" t="s">
        <v>22</v>
      </c>
      <c r="E246" t="s">
        <v>63</v>
      </c>
      <c r="F246" t="s">
        <v>40</v>
      </c>
      <c r="G246" t="s">
        <v>35</v>
      </c>
      <c r="H246" t="s">
        <v>29</v>
      </c>
      <c r="I246">
        <v>2</v>
      </c>
      <c r="J246">
        <v>126.3</v>
      </c>
      <c r="K246">
        <v>252.6</v>
      </c>
      <c r="L246" t="s">
        <v>585</v>
      </c>
      <c r="M246" t="s">
        <v>587</v>
      </c>
    </row>
    <row r="247" spans="1:13" x14ac:dyDescent="0.35">
      <c r="A247" t="s">
        <v>340</v>
      </c>
      <c r="B247" t="s">
        <v>97</v>
      </c>
      <c r="C247" t="s">
        <v>43</v>
      </c>
      <c r="D247" t="s">
        <v>33</v>
      </c>
      <c r="E247" t="s">
        <v>44</v>
      </c>
      <c r="F247" t="s">
        <v>40</v>
      </c>
      <c r="G247" t="s">
        <v>17</v>
      </c>
      <c r="H247" t="s">
        <v>29</v>
      </c>
      <c r="I247">
        <v>3</v>
      </c>
      <c r="J247">
        <v>5.35</v>
      </c>
      <c r="K247">
        <v>16.05</v>
      </c>
      <c r="L247" t="s">
        <v>585</v>
      </c>
      <c r="M247" t="s">
        <v>587</v>
      </c>
    </row>
    <row r="248" spans="1:13" x14ac:dyDescent="0.35">
      <c r="A248" t="s">
        <v>339</v>
      </c>
      <c r="B248" t="s">
        <v>69</v>
      </c>
      <c r="C248" t="s">
        <v>21</v>
      </c>
      <c r="D248" t="s">
        <v>22</v>
      </c>
      <c r="E248" t="s">
        <v>15</v>
      </c>
      <c r="F248" t="s">
        <v>40</v>
      </c>
      <c r="G248" t="s">
        <v>74</v>
      </c>
      <c r="H248" t="s">
        <v>29</v>
      </c>
      <c r="I248">
        <v>2</v>
      </c>
      <c r="J248">
        <v>292.14999999999998</v>
      </c>
      <c r="K248">
        <v>584.29999999999995</v>
      </c>
      <c r="L248" t="s">
        <v>585</v>
      </c>
      <c r="M248" t="s">
        <v>587</v>
      </c>
    </row>
    <row r="249" spans="1:13" x14ac:dyDescent="0.35">
      <c r="A249" t="s">
        <v>318</v>
      </c>
      <c r="B249" t="s">
        <v>60</v>
      </c>
      <c r="C249" t="s">
        <v>66</v>
      </c>
      <c r="D249" t="s">
        <v>67</v>
      </c>
      <c r="E249" t="s">
        <v>63</v>
      </c>
      <c r="F249" t="s">
        <v>16</v>
      </c>
      <c r="G249" t="s">
        <v>74</v>
      </c>
      <c r="H249" t="s">
        <v>29</v>
      </c>
      <c r="I249">
        <v>6</v>
      </c>
      <c r="J249">
        <v>47.8</v>
      </c>
      <c r="K249">
        <v>286.8</v>
      </c>
      <c r="L249" t="s">
        <v>585</v>
      </c>
      <c r="M249" t="s">
        <v>586</v>
      </c>
    </row>
    <row r="250" spans="1:13" x14ac:dyDescent="0.35">
      <c r="A250" t="s">
        <v>337</v>
      </c>
      <c r="B250" t="s">
        <v>90</v>
      </c>
      <c r="C250" t="s">
        <v>43</v>
      </c>
      <c r="D250" t="s">
        <v>33</v>
      </c>
      <c r="E250" t="s">
        <v>44</v>
      </c>
      <c r="F250" t="s">
        <v>47</v>
      </c>
      <c r="G250" t="s">
        <v>24</v>
      </c>
      <c r="H250" t="s">
        <v>29</v>
      </c>
      <c r="I250">
        <v>2</v>
      </c>
      <c r="J250">
        <v>5.76</v>
      </c>
      <c r="K250">
        <v>11.52</v>
      </c>
      <c r="L250" t="s">
        <v>585</v>
      </c>
      <c r="M250" t="s">
        <v>587</v>
      </c>
    </row>
    <row r="251" spans="1:13" x14ac:dyDescent="0.35">
      <c r="A251" t="s">
        <v>335</v>
      </c>
      <c r="B251" t="s">
        <v>60</v>
      </c>
      <c r="C251" t="s">
        <v>21</v>
      </c>
      <c r="D251" t="s">
        <v>22</v>
      </c>
      <c r="E251" t="s">
        <v>63</v>
      </c>
      <c r="F251" t="s">
        <v>16</v>
      </c>
      <c r="G251" t="s">
        <v>24</v>
      </c>
      <c r="H251" t="s">
        <v>29</v>
      </c>
      <c r="I251">
        <v>9</v>
      </c>
      <c r="J251">
        <v>296.58</v>
      </c>
      <c r="K251">
        <v>2669.22</v>
      </c>
      <c r="L251" t="s">
        <v>588</v>
      </c>
      <c r="M251" t="s">
        <v>586</v>
      </c>
    </row>
    <row r="252" spans="1:13" x14ac:dyDescent="0.35">
      <c r="A252" t="s">
        <v>321</v>
      </c>
      <c r="B252" t="s">
        <v>54</v>
      </c>
      <c r="C252" t="s">
        <v>32</v>
      </c>
      <c r="D252" t="s">
        <v>33</v>
      </c>
      <c r="E252" t="s">
        <v>44</v>
      </c>
      <c r="F252" t="s">
        <v>28</v>
      </c>
      <c r="G252" t="s">
        <v>35</v>
      </c>
      <c r="H252" t="s">
        <v>29</v>
      </c>
      <c r="I252">
        <v>4</v>
      </c>
      <c r="J252">
        <v>3.27</v>
      </c>
      <c r="K252">
        <v>13.08</v>
      </c>
      <c r="L252" t="s">
        <v>585</v>
      </c>
      <c r="M252" t="s">
        <v>587</v>
      </c>
    </row>
    <row r="253" spans="1:13" x14ac:dyDescent="0.35">
      <c r="A253" t="s">
        <v>322</v>
      </c>
      <c r="B253" t="s">
        <v>50</v>
      </c>
      <c r="C253" t="s">
        <v>66</v>
      </c>
      <c r="D253" t="s">
        <v>67</v>
      </c>
      <c r="E253" t="s">
        <v>15</v>
      </c>
      <c r="F253" t="s">
        <v>47</v>
      </c>
      <c r="G253" t="s">
        <v>45</v>
      </c>
      <c r="H253" t="s">
        <v>29</v>
      </c>
      <c r="I253">
        <v>10</v>
      </c>
      <c r="J253">
        <v>44.81</v>
      </c>
      <c r="K253">
        <v>448.1</v>
      </c>
      <c r="L253" t="s">
        <v>585</v>
      </c>
      <c r="M253" t="s">
        <v>586</v>
      </c>
    </row>
    <row r="254" spans="1:13" x14ac:dyDescent="0.35">
      <c r="A254" t="s">
        <v>334</v>
      </c>
      <c r="B254" t="s">
        <v>77</v>
      </c>
      <c r="C254" t="s">
        <v>32</v>
      </c>
      <c r="D254" t="s">
        <v>33</v>
      </c>
      <c r="E254" t="s">
        <v>15</v>
      </c>
      <c r="F254" t="s">
        <v>16</v>
      </c>
      <c r="G254" t="s">
        <v>35</v>
      </c>
      <c r="H254" t="s">
        <v>29</v>
      </c>
      <c r="I254">
        <v>8</v>
      </c>
      <c r="J254">
        <v>3.49</v>
      </c>
      <c r="K254">
        <v>27.92</v>
      </c>
      <c r="L254" t="s">
        <v>585</v>
      </c>
      <c r="M254" t="s">
        <v>586</v>
      </c>
    </row>
    <row r="255" spans="1:13" x14ac:dyDescent="0.35">
      <c r="A255" t="s">
        <v>333</v>
      </c>
      <c r="B255" t="s">
        <v>77</v>
      </c>
      <c r="C255" t="s">
        <v>58</v>
      </c>
      <c r="D255" t="s">
        <v>22</v>
      </c>
      <c r="E255" t="s">
        <v>15</v>
      </c>
      <c r="F255" t="s">
        <v>23</v>
      </c>
      <c r="G255" t="s">
        <v>35</v>
      </c>
      <c r="H255" t="s">
        <v>29</v>
      </c>
      <c r="I255">
        <v>7</v>
      </c>
      <c r="J255">
        <v>115.18</v>
      </c>
      <c r="K255">
        <v>806.26</v>
      </c>
      <c r="L255" t="s">
        <v>585</v>
      </c>
      <c r="M255" t="s">
        <v>586</v>
      </c>
    </row>
    <row r="256" spans="1:13" x14ac:dyDescent="0.35">
      <c r="A256" t="s">
        <v>332</v>
      </c>
      <c r="B256" t="s">
        <v>73</v>
      </c>
      <c r="C256" t="s">
        <v>38</v>
      </c>
      <c r="D256" t="s">
        <v>14</v>
      </c>
      <c r="E256" t="s">
        <v>63</v>
      </c>
      <c r="F256" t="s">
        <v>28</v>
      </c>
      <c r="G256" t="s">
        <v>45</v>
      </c>
      <c r="H256" t="s">
        <v>29</v>
      </c>
      <c r="I256">
        <v>2</v>
      </c>
      <c r="J256">
        <v>32.619999999999997</v>
      </c>
      <c r="K256">
        <v>65.239999999999995</v>
      </c>
      <c r="L256" t="s">
        <v>585</v>
      </c>
      <c r="M256" t="s">
        <v>587</v>
      </c>
    </row>
    <row r="257" spans="1:13" x14ac:dyDescent="0.35">
      <c r="A257" t="s">
        <v>326</v>
      </c>
      <c r="B257" t="s">
        <v>50</v>
      </c>
      <c r="C257" t="s">
        <v>55</v>
      </c>
      <c r="D257" t="s">
        <v>14</v>
      </c>
      <c r="E257" t="s">
        <v>15</v>
      </c>
      <c r="F257" t="s">
        <v>16</v>
      </c>
      <c r="G257" t="s">
        <v>48</v>
      </c>
      <c r="H257" t="s">
        <v>29</v>
      </c>
      <c r="I257">
        <v>9</v>
      </c>
      <c r="J257">
        <v>662</v>
      </c>
      <c r="K257">
        <v>5958</v>
      </c>
      <c r="L257" t="s">
        <v>588</v>
      </c>
      <c r="M257" t="s">
        <v>586</v>
      </c>
    </row>
    <row r="258" spans="1:13" x14ac:dyDescent="0.35">
      <c r="A258" t="s">
        <v>328</v>
      </c>
      <c r="B258" t="s">
        <v>65</v>
      </c>
      <c r="C258" t="s">
        <v>58</v>
      </c>
      <c r="D258" t="s">
        <v>22</v>
      </c>
      <c r="E258" t="s">
        <v>44</v>
      </c>
      <c r="F258" t="s">
        <v>16</v>
      </c>
      <c r="G258" t="s">
        <v>35</v>
      </c>
      <c r="H258" t="s">
        <v>29</v>
      </c>
      <c r="I258">
        <v>10</v>
      </c>
      <c r="J258">
        <v>133.74</v>
      </c>
      <c r="K258">
        <v>1337.4</v>
      </c>
      <c r="L258" t="s">
        <v>588</v>
      </c>
      <c r="M258" t="s">
        <v>586</v>
      </c>
    </row>
  </sheetData>
  <conditionalFormatting sqref="L1:L1048576">
    <cfRule type="colorScale" priority="2">
      <colorScale>
        <cfvo type="min"/>
        <cfvo type="max"/>
        <color rgb="FFFFEF9C"/>
        <color rgb="FF63BE7B"/>
      </colorScale>
    </cfRule>
    <cfRule type="top10" dxfId="2" priority="5" percent="1" rank="10"/>
    <cfRule type="colorScale" priority="6">
      <colorScale>
        <cfvo type="min"/>
        <cfvo type="percentile" val="50"/>
        <cfvo type="max"/>
        <color rgb="FF63BE7B"/>
        <color rgb="FFFFEB84"/>
        <color rgb="FFF8696B"/>
      </colorScale>
    </cfRule>
  </conditionalFormatting>
  <conditionalFormatting sqref="K1">
    <cfRule type="top10" dxfId="1" priority="4" rank="10"/>
  </conditionalFormatting>
  <conditionalFormatting sqref="K1:K1048576">
    <cfRule type="top10" dxfId="0" priority="3" rank="10"/>
  </conditionalFormatting>
  <conditionalFormatting sqref="I1:I1048576">
    <cfRule type="colorScale" priority="1">
      <colorScale>
        <cfvo type="min"/>
        <cfvo type="percentile" val="50"/>
        <cfvo type="max"/>
        <color rgb="FFF8696B"/>
        <color rgb="FFFCFCFF"/>
        <color rgb="FF5A8AC6"/>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A2:R46"/>
  <sheetViews>
    <sheetView zoomScale="70" zoomScaleNormal="70" workbookViewId="0">
      <selection activeCell="A14" sqref="A14:B14"/>
    </sheetView>
  </sheetViews>
  <sheetFormatPr defaultRowHeight="14.5" x14ac:dyDescent="0.35"/>
  <cols>
    <col min="1" max="1" width="13.08984375" bestFit="1" customWidth="1"/>
    <col min="2" max="2" width="14.36328125" bestFit="1" customWidth="1"/>
    <col min="4" max="4" width="13.08984375" customWidth="1"/>
    <col min="5" max="5" width="14.36328125" customWidth="1"/>
    <col min="6" max="6" width="11.81640625" bestFit="1" customWidth="1"/>
    <col min="7" max="7" width="13.08984375" customWidth="1"/>
    <col min="8" max="8" width="14.54296875" customWidth="1"/>
    <col min="9" max="9" width="11.81640625" customWidth="1"/>
    <col min="10" max="11" width="12.36328125" customWidth="1"/>
    <col min="12" max="12" width="17.54296875" bestFit="1" customWidth="1"/>
  </cols>
  <sheetData>
    <row r="2" spans="1:12" x14ac:dyDescent="0.35">
      <c r="B2" s="38" t="s">
        <v>599</v>
      </c>
      <c r="C2" s="39"/>
      <c r="D2" s="39"/>
      <c r="E2" s="39"/>
      <c r="F2" s="39"/>
      <c r="G2" s="39"/>
      <c r="H2" s="39"/>
      <c r="I2" s="39"/>
      <c r="J2" s="39"/>
    </row>
    <row r="3" spans="1:12" ht="15" thickBot="1" x14ac:dyDescent="0.4">
      <c r="B3" s="40"/>
      <c r="C3" s="40"/>
      <c r="D3" s="40"/>
      <c r="E3" s="40"/>
      <c r="F3" s="40"/>
      <c r="G3" s="40"/>
      <c r="H3" s="40"/>
      <c r="I3" s="40"/>
      <c r="J3" s="40"/>
    </row>
    <row r="4" spans="1:12" ht="15" thickBot="1" x14ac:dyDescent="0.4">
      <c r="A4" s="23"/>
      <c r="B4" s="4"/>
      <c r="C4" s="4"/>
      <c r="D4" s="4"/>
      <c r="E4" s="4"/>
      <c r="F4" s="4"/>
      <c r="G4" s="4"/>
      <c r="H4" s="4"/>
      <c r="I4" s="4"/>
      <c r="J4" s="4"/>
      <c r="K4" s="4"/>
      <c r="L4" s="5"/>
    </row>
    <row r="5" spans="1:12" ht="15" thickBot="1" x14ac:dyDescent="0.4">
      <c r="A5" s="45" t="s">
        <v>573</v>
      </c>
      <c r="B5" s="47"/>
      <c r="C5" s="24"/>
      <c r="D5" s="45" t="s">
        <v>577</v>
      </c>
      <c r="E5" s="47"/>
      <c r="F5" s="24"/>
      <c r="G5" s="45" t="s">
        <v>578</v>
      </c>
      <c r="H5" s="46"/>
      <c r="I5" s="47"/>
      <c r="J5" s="25" t="s">
        <v>3</v>
      </c>
      <c r="K5" s="10" t="s">
        <v>590</v>
      </c>
      <c r="L5" s="11"/>
    </row>
    <row r="6" spans="1:12" ht="15" thickBot="1" x14ac:dyDescent="0.4">
      <c r="A6" s="56" t="s">
        <v>574</v>
      </c>
      <c r="B6" s="57" t="s">
        <v>576</v>
      </c>
      <c r="C6" s="10"/>
      <c r="D6" s="56" t="s">
        <v>574</v>
      </c>
      <c r="E6" s="57" t="s">
        <v>576</v>
      </c>
      <c r="F6" s="10"/>
      <c r="G6" s="56" t="s">
        <v>574</v>
      </c>
      <c r="H6" s="57" t="s">
        <v>579</v>
      </c>
      <c r="I6" s="10"/>
      <c r="J6" s="45" t="s">
        <v>589</v>
      </c>
      <c r="K6" s="47"/>
      <c r="L6" s="11"/>
    </row>
    <row r="7" spans="1:12" x14ac:dyDescent="0.35">
      <c r="A7" s="58" t="s">
        <v>67</v>
      </c>
      <c r="B7" s="53">
        <v>13455.11</v>
      </c>
      <c r="C7" s="10"/>
      <c r="D7" s="58" t="s">
        <v>39</v>
      </c>
      <c r="E7" s="53">
        <v>89967.21</v>
      </c>
      <c r="F7" s="10"/>
      <c r="G7" s="58" t="s">
        <v>66</v>
      </c>
      <c r="H7" s="53">
        <v>322</v>
      </c>
      <c r="I7" s="10"/>
      <c r="J7" s="25" t="s">
        <v>574</v>
      </c>
      <c r="K7" s="10" t="s">
        <v>582</v>
      </c>
      <c r="L7" s="11"/>
    </row>
    <row r="8" spans="1:12" x14ac:dyDescent="0.35">
      <c r="A8" s="59" t="s">
        <v>14</v>
      </c>
      <c r="B8" s="54">
        <v>264921.85000000003</v>
      </c>
      <c r="C8" s="10"/>
      <c r="D8" s="59" t="s">
        <v>44</v>
      </c>
      <c r="E8" s="54">
        <v>69055.609999999986</v>
      </c>
      <c r="F8" s="10"/>
      <c r="G8" s="59" t="s">
        <v>58</v>
      </c>
      <c r="H8" s="54">
        <v>316</v>
      </c>
      <c r="I8" s="10"/>
      <c r="J8" s="28" t="s">
        <v>47</v>
      </c>
      <c r="K8" s="29">
        <v>727.7691463414634</v>
      </c>
      <c r="L8" s="11"/>
    </row>
    <row r="9" spans="1:12" x14ac:dyDescent="0.35">
      <c r="A9" s="59" t="s">
        <v>22</v>
      </c>
      <c r="B9" s="54">
        <v>110047.34000000003</v>
      </c>
      <c r="C9" s="10"/>
      <c r="D9" s="59" t="s">
        <v>15</v>
      </c>
      <c r="E9" s="54">
        <v>123709.83</v>
      </c>
      <c r="F9" s="10"/>
      <c r="G9" s="59" t="s">
        <v>38</v>
      </c>
      <c r="H9" s="54">
        <v>301</v>
      </c>
      <c r="I9" s="10"/>
      <c r="J9" s="28" t="s">
        <v>16</v>
      </c>
      <c r="K9" s="29">
        <v>663.36258426966322</v>
      </c>
      <c r="L9" s="11"/>
    </row>
    <row r="10" spans="1:12" ht="15" thickBot="1" x14ac:dyDescent="0.4">
      <c r="A10" s="60" t="s">
        <v>33</v>
      </c>
      <c r="B10" s="54">
        <v>2287.77</v>
      </c>
      <c r="C10" s="10"/>
      <c r="D10" s="60" t="s">
        <v>63</v>
      </c>
      <c r="E10" s="54">
        <v>107979.42000000003</v>
      </c>
      <c r="F10" s="10"/>
      <c r="G10" s="59" t="s">
        <v>55</v>
      </c>
      <c r="H10" s="54">
        <v>230</v>
      </c>
      <c r="I10" s="10"/>
      <c r="J10" s="28" t="s">
        <v>23</v>
      </c>
      <c r="K10" s="29">
        <v>881.32795454545442</v>
      </c>
      <c r="L10" s="11"/>
    </row>
    <row r="11" spans="1:12" ht="15" thickBot="1" x14ac:dyDescent="0.4">
      <c r="A11" s="61" t="s">
        <v>575</v>
      </c>
      <c r="B11" s="55">
        <v>390712.07000000007</v>
      </c>
      <c r="C11" s="10"/>
      <c r="D11" s="61" t="s">
        <v>575</v>
      </c>
      <c r="E11" s="55">
        <v>390712.07000000007</v>
      </c>
      <c r="F11" s="10"/>
      <c r="G11" s="59" t="s">
        <v>61</v>
      </c>
      <c r="H11" s="54">
        <v>222</v>
      </c>
      <c r="I11" s="10"/>
      <c r="J11" s="28" t="s">
        <v>40</v>
      </c>
      <c r="K11" s="29">
        <v>753.21750000000009</v>
      </c>
      <c r="L11" s="11"/>
    </row>
    <row r="12" spans="1:12" x14ac:dyDescent="0.35">
      <c r="A12" s="30"/>
      <c r="B12" s="10"/>
      <c r="C12" s="10"/>
      <c r="D12" s="10"/>
      <c r="E12" s="10"/>
      <c r="F12" s="10"/>
      <c r="G12" s="59" t="s">
        <v>27</v>
      </c>
      <c r="H12" s="54">
        <v>253</v>
      </c>
      <c r="I12" s="10"/>
      <c r="J12" s="28" t="s">
        <v>34</v>
      </c>
      <c r="K12" s="29">
        <v>842.27348484848494</v>
      </c>
      <c r="L12" s="11"/>
    </row>
    <row r="13" spans="1:12" ht="15" thickBot="1" x14ac:dyDescent="0.4">
      <c r="A13" s="30"/>
      <c r="B13" s="10"/>
      <c r="C13" s="10"/>
      <c r="D13" s="10"/>
      <c r="E13" s="10"/>
      <c r="F13" s="10"/>
      <c r="G13" s="59" t="s">
        <v>43</v>
      </c>
      <c r="H13" s="54">
        <v>271</v>
      </c>
      <c r="I13" s="10"/>
      <c r="J13" s="28" t="s">
        <v>28</v>
      </c>
      <c r="K13" s="29">
        <v>830.533516483516</v>
      </c>
      <c r="L13" s="11"/>
    </row>
    <row r="14" spans="1:12" ht="15" thickBot="1" x14ac:dyDescent="0.4">
      <c r="A14" s="45" t="s">
        <v>580</v>
      </c>
      <c r="B14" s="47"/>
      <c r="C14" s="10"/>
      <c r="D14" s="45" t="s">
        <v>581</v>
      </c>
      <c r="E14" s="47"/>
      <c r="F14" s="10"/>
      <c r="G14" s="59" t="s">
        <v>21</v>
      </c>
      <c r="H14" s="54">
        <v>269</v>
      </c>
      <c r="I14" s="10"/>
      <c r="J14" s="28" t="s">
        <v>575</v>
      </c>
      <c r="K14" s="29">
        <v>781.42413999999997</v>
      </c>
      <c r="L14" s="11"/>
    </row>
    <row r="15" spans="1:12" ht="15" thickBot="1" x14ac:dyDescent="0.4">
      <c r="A15" s="56" t="s">
        <v>574</v>
      </c>
      <c r="B15" s="57" t="s">
        <v>576</v>
      </c>
      <c r="C15" s="10"/>
      <c r="D15" s="25" t="s">
        <v>574</v>
      </c>
      <c r="E15" s="10" t="s">
        <v>582</v>
      </c>
      <c r="F15" s="10"/>
      <c r="G15" s="59" t="s">
        <v>32</v>
      </c>
      <c r="H15" s="54">
        <v>271</v>
      </c>
      <c r="I15" s="10"/>
      <c r="J15" s="10"/>
      <c r="K15" s="10"/>
      <c r="L15" s="11"/>
    </row>
    <row r="16" spans="1:12" ht="15" thickBot="1" x14ac:dyDescent="0.4">
      <c r="A16" s="58" t="s">
        <v>74</v>
      </c>
      <c r="B16" s="53">
        <v>53035.429999999993</v>
      </c>
      <c r="C16" s="10"/>
      <c r="D16" s="28" t="s">
        <v>29</v>
      </c>
      <c r="E16" s="29">
        <v>746.92202334630383</v>
      </c>
      <c r="F16" s="10"/>
      <c r="G16" s="60" t="s">
        <v>13</v>
      </c>
      <c r="H16" s="54">
        <v>240</v>
      </c>
      <c r="I16" s="10"/>
      <c r="J16" s="10"/>
      <c r="K16" s="10"/>
      <c r="L16" s="11"/>
    </row>
    <row r="17" spans="1:18" ht="15" thickBot="1" x14ac:dyDescent="0.4">
      <c r="A17" s="59" t="s">
        <v>24</v>
      </c>
      <c r="B17" s="54">
        <v>66858.63</v>
      </c>
      <c r="C17" s="10"/>
      <c r="D17" s="28" t="s">
        <v>18</v>
      </c>
      <c r="E17" s="29">
        <v>817.91403292181076</v>
      </c>
      <c r="F17" s="10"/>
      <c r="G17" s="61" t="s">
        <v>575</v>
      </c>
      <c r="H17" s="55">
        <v>2695</v>
      </c>
      <c r="I17" s="10"/>
      <c r="J17" s="10"/>
      <c r="K17" s="48"/>
      <c r="L17" s="49"/>
    </row>
    <row r="18" spans="1:18" x14ac:dyDescent="0.35">
      <c r="A18" s="59" t="s">
        <v>35</v>
      </c>
      <c r="B18" s="54">
        <v>57860.24</v>
      </c>
      <c r="C18" s="10"/>
      <c r="D18" s="28" t="s">
        <v>575</v>
      </c>
      <c r="E18" s="27">
        <v>781.42413999999985</v>
      </c>
      <c r="F18" s="10"/>
      <c r="G18" s="10"/>
      <c r="H18" s="10"/>
      <c r="I18" s="10"/>
      <c r="J18" s="10"/>
      <c r="K18" s="10"/>
      <c r="L18" s="11"/>
    </row>
    <row r="19" spans="1:18" x14ac:dyDescent="0.35">
      <c r="A19" s="59" t="s">
        <v>17</v>
      </c>
      <c r="B19" s="54">
        <v>62668.589999999982</v>
      </c>
      <c r="C19" s="10"/>
      <c r="D19" s="10"/>
      <c r="E19" s="10"/>
      <c r="F19" s="10"/>
      <c r="G19" s="10"/>
      <c r="H19" s="10"/>
      <c r="I19" s="10"/>
      <c r="J19" s="10"/>
      <c r="K19" s="28"/>
      <c r="L19" s="31"/>
    </row>
    <row r="20" spans="1:18" ht="15" thickBot="1" x14ac:dyDescent="0.4">
      <c r="A20" s="59" t="s">
        <v>48</v>
      </c>
      <c r="B20" s="54">
        <v>90381.010000000009</v>
      </c>
      <c r="C20" s="10"/>
      <c r="D20" s="10"/>
      <c r="E20" s="10"/>
      <c r="F20" s="10"/>
      <c r="G20" s="10"/>
      <c r="H20" s="10"/>
      <c r="I20" s="10"/>
      <c r="J20" s="10"/>
      <c r="K20" s="28"/>
      <c r="L20" s="31"/>
    </row>
    <row r="21" spans="1:18" ht="15" thickBot="1" x14ac:dyDescent="0.4">
      <c r="A21" s="60" t="s">
        <v>45</v>
      </c>
      <c r="B21" s="54">
        <v>59908.17</v>
      </c>
      <c r="C21" s="10"/>
      <c r="D21" s="45" t="s">
        <v>583</v>
      </c>
      <c r="E21" s="46"/>
      <c r="F21" s="46"/>
      <c r="G21" s="47"/>
      <c r="H21" s="10"/>
      <c r="I21" s="10"/>
      <c r="J21" s="10"/>
      <c r="K21" s="28"/>
      <c r="L21" s="32"/>
    </row>
    <row r="22" spans="1:18" ht="15" thickBot="1" x14ac:dyDescent="0.4">
      <c r="A22" s="61" t="s">
        <v>575</v>
      </c>
      <c r="B22" s="55">
        <v>390712.06999999995</v>
      </c>
      <c r="C22" s="10"/>
      <c r="D22" s="25" t="s">
        <v>582</v>
      </c>
      <c r="E22" s="25" t="s">
        <v>584</v>
      </c>
      <c r="F22" s="10"/>
      <c r="G22" s="10"/>
      <c r="H22" s="10"/>
      <c r="I22" s="10"/>
      <c r="J22" s="10"/>
      <c r="K22" s="10"/>
      <c r="L22" s="11"/>
    </row>
    <row r="23" spans="1:18" x14ac:dyDescent="0.35">
      <c r="A23" s="30"/>
      <c r="B23" s="10"/>
      <c r="C23" s="10"/>
      <c r="D23" s="25" t="s">
        <v>574</v>
      </c>
      <c r="E23" s="10" t="s">
        <v>67</v>
      </c>
      <c r="F23" s="10" t="s">
        <v>14</v>
      </c>
      <c r="G23" s="10" t="s">
        <v>22</v>
      </c>
      <c r="H23" s="10" t="s">
        <v>33</v>
      </c>
      <c r="I23" s="10" t="s">
        <v>575</v>
      </c>
      <c r="J23" s="10"/>
      <c r="K23" s="10"/>
      <c r="L23" s="11"/>
    </row>
    <row r="24" spans="1:18" x14ac:dyDescent="0.35">
      <c r="A24" s="30"/>
      <c r="B24" s="10"/>
      <c r="C24" s="10"/>
      <c r="D24" s="28" t="s">
        <v>39</v>
      </c>
      <c r="E24" s="33">
        <v>206.42888888888896</v>
      </c>
      <c r="F24" s="33">
        <v>946.87666666666644</v>
      </c>
      <c r="G24" s="33">
        <v>1226.2214285714285</v>
      </c>
      <c r="H24" s="33">
        <v>24.217428571428567</v>
      </c>
      <c r="I24" s="33">
        <v>656.69496350364955</v>
      </c>
      <c r="J24" s="10"/>
      <c r="K24" s="10"/>
      <c r="L24" s="11"/>
    </row>
    <row r="25" spans="1:18" x14ac:dyDescent="0.35">
      <c r="A25" s="30"/>
      <c r="B25" s="10"/>
      <c r="C25" s="10"/>
      <c r="D25" s="28" t="s">
        <v>44</v>
      </c>
      <c r="E25" s="33">
        <v>201.03533333333328</v>
      </c>
      <c r="F25" s="33">
        <v>1069.4122500000001</v>
      </c>
      <c r="G25" s="33">
        <v>1026.0554545454543</v>
      </c>
      <c r="H25" s="33">
        <v>24.656071428571426</v>
      </c>
      <c r="I25" s="33">
        <v>657.67247619047646</v>
      </c>
      <c r="J25" s="10"/>
      <c r="K25" s="10"/>
      <c r="L25" s="11"/>
    </row>
    <row r="26" spans="1:18" x14ac:dyDescent="0.35">
      <c r="A26" s="30"/>
      <c r="B26" s="10"/>
      <c r="C26" s="10"/>
      <c r="D26" s="28" t="s">
        <v>15</v>
      </c>
      <c r="E26" s="33">
        <v>252.34900000000002</v>
      </c>
      <c r="F26" s="33">
        <v>1239.5806756756756</v>
      </c>
      <c r="G26" s="33">
        <v>1075.464074074074</v>
      </c>
      <c r="H26" s="33">
        <v>19.083636363636369</v>
      </c>
      <c r="I26" s="33">
        <v>930.14909774436114</v>
      </c>
      <c r="J26" s="10"/>
      <c r="K26" s="10"/>
      <c r="L26" s="11"/>
    </row>
    <row r="27" spans="1:18" x14ac:dyDescent="0.35">
      <c r="A27" s="30"/>
      <c r="B27" s="10"/>
      <c r="C27" s="10"/>
      <c r="D27" s="28" t="s">
        <v>63</v>
      </c>
      <c r="E27" s="33">
        <v>233.35388888888889</v>
      </c>
      <c r="F27" s="33">
        <v>1160.0518032786886</v>
      </c>
      <c r="G27" s="33">
        <v>1089.5313333333331</v>
      </c>
      <c r="H27" s="33">
        <v>20.621875000000003</v>
      </c>
      <c r="I27" s="33">
        <v>863.83536000000015</v>
      </c>
      <c r="J27" s="10"/>
      <c r="K27" s="10"/>
      <c r="L27" s="11"/>
    </row>
    <row r="28" spans="1:18" x14ac:dyDescent="0.35">
      <c r="A28" s="30"/>
      <c r="B28" s="10"/>
      <c r="C28" s="10"/>
      <c r="D28" s="28" t="s">
        <v>575</v>
      </c>
      <c r="E28" s="33">
        <v>220.57557377049179</v>
      </c>
      <c r="F28" s="33">
        <v>1113.1170168067224</v>
      </c>
      <c r="G28" s="33">
        <v>1100.4734000000003</v>
      </c>
      <c r="H28" s="33">
        <v>22.651188118811877</v>
      </c>
      <c r="I28" s="33">
        <v>781.42414000000008</v>
      </c>
      <c r="J28" s="10"/>
      <c r="K28" s="10"/>
      <c r="L28" s="11"/>
    </row>
    <row r="29" spans="1:18" ht="15" thickBot="1" x14ac:dyDescent="0.4">
      <c r="A29" s="34"/>
      <c r="B29" s="13"/>
      <c r="C29" s="13"/>
      <c r="D29" s="13"/>
      <c r="E29" s="13"/>
      <c r="F29" s="13"/>
      <c r="G29" s="13"/>
      <c r="H29" s="13"/>
      <c r="I29" s="13"/>
      <c r="J29" s="13"/>
      <c r="K29" s="13"/>
      <c r="L29" s="8"/>
    </row>
    <row r="30" spans="1:18" ht="14.5" customHeight="1" x14ac:dyDescent="0.35">
      <c r="A30" s="41" t="s">
        <v>598</v>
      </c>
      <c r="B30" s="42"/>
      <c r="C30" s="42"/>
      <c r="D30" s="42"/>
      <c r="E30" s="42"/>
      <c r="F30" s="42"/>
      <c r="G30" s="42"/>
      <c r="H30" s="42"/>
      <c r="I30" s="42"/>
      <c r="J30" s="42"/>
      <c r="K30" s="42"/>
      <c r="L30" s="42"/>
    </row>
    <row r="31" spans="1:18" ht="15" thickBot="1" x14ac:dyDescent="0.4">
      <c r="A31" s="43"/>
      <c r="B31" s="44"/>
      <c r="C31" s="44"/>
      <c r="D31" s="44"/>
      <c r="E31" s="44"/>
      <c r="F31" s="44"/>
      <c r="G31" s="44"/>
      <c r="H31" s="44"/>
      <c r="I31" s="44"/>
      <c r="J31" s="44"/>
      <c r="K31" s="44"/>
      <c r="L31" s="44"/>
    </row>
    <row r="32" spans="1:18" ht="18.5" x14ac:dyDescent="0.45">
      <c r="B32" s="21" t="s">
        <v>573</v>
      </c>
      <c r="C32" s="22"/>
      <c r="D32" s="10"/>
      <c r="E32" s="10"/>
      <c r="F32" s="4"/>
      <c r="G32" s="4"/>
      <c r="H32" s="5"/>
      <c r="K32" s="14" t="s">
        <v>580</v>
      </c>
      <c r="L32" s="15"/>
      <c r="M32" s="16"/>
      <c r="N32" s="16"/>
      <c r="O32" s="16"/>
      <c r="P32" s="16"/>
      <c r="Q32" s="4"/>
      <c r="R32" s="5"/>
    </row>
    <row r="33" spans="2:18" ht="18.5" x14ac:dyDescent="0.45">
      <c r="B33" s="35"/>
      <c r="C33" s="36"/>
      <c r="D33" s="36"/>
      <c r="E33" s="36"/>
      <c r="F33" s="36"/>
      <c r="G33" s="36"/>
      <c r="H33" s="37"/>
      <c r="K33" s="17"/>
      <c r="L33" s="18"/>
      <c r="M33" s="18"/>
      <c r="N33" s="18"/>
      <c r="O33" s="18"/>
      <c r="P33" s="18"/>
      <c r="Q33" s="10"/>
      <c r="R33" s="11"/>
    </row>
    <row r="34" spans="2:18" ht="19" thickBot="1" x14ac:dyDescent="0.5">
      <c r="B34" s="6" t="s">
        <v>591</v>
      </c>
      <c r="C34" s="7"/>
      <c r="D34" s="7"/>
      <c r="E34" s="7"/>
      <c r="F34" s="7"/>
      <c r="G34" s="7"/>
      <c r="H34" s="8"/>
      <c r="K34" s="19" t="s">
        <v>594</v>
      </c>
      <c r="L34" s="20"/>
      <c r="M34" s="20"/>
      <c r="N34" s="20"/>
      <c r="O34" s="20"/>
      <c r="P34" s="20"/>
      <c r="Q34" s="13"/>
      <c r="R34" s="8"/>
    </row>
    <row r="35" spans="2:18" ht="19" thickBot="1" x14ac:dyDescent="0.5">
      <c r="B35" s="50"/>
      <c r="C35" s="50"/>
      <c r="D35" s="50"/>
      <c r="E35" s="50"/>
      <c r="F35" s="50"/>
      <c r="G35" s="50"/>
      <c r="H35" s="50"/>
      <c r="K35" s="1"/>
      <c r="L35" s="1"/>
      <c r="M35" s="1"/>
      <c r="N35" s="1"/>
      <c r="O35" s="1"/>
      <c r="P35" s="1"/>
    </row>
    <row r="36" spans="2:18" ht="18.5" x14ac:dyDescent="0.45">
      <c r="B36" s="2" t="s">
        <v>577</v>
      </c>
      <c r="C36" s="3"/>
      <c r="D36" s="4"/>
      <c r="E36" s="4"/>
      <c r="F36" s="4"/>
      <c r="G36" s="4"/>
      <c r="H36" s="5"/>
      <c r="K36" s="14" t="s">
        <v>581</v>
      </c>
      <c r="L36" s="15"/>
      <c r="M36" s="16"/>
      <c r="N36" s="16"/>
      <c r="O36" s="16"/>
      <c r="P36" s="16"/>
      <c r="Q36" s="4"/>
      <c r="R36" s="5"/>
    </row>
    <row r="37" spans="2:18" ht="18.5" x14ac:dyDescent="0.45">
      <c r="B37" s="35"/>
      <c r="C37" s="36"/>
      <c r="D37" s="36"/>
      <c r="E37" s="36"/>
      <c r="F37" s="36"/>
      <c r="G37" s="36"/>
      <c r="H37" s="37"/>
      <c r="K37" s="17"/>
      <c r="L37" s="18"/>
      <c r="M37" s="18"/>
      <c r="N37" s="18"/>
      <c r="O37" s="18"/>
      <c r="P37" s="18"/>
      <c r="Q37" s="10"/>
      <c r="R37" s="11"/>
    </row>
    <row r="38" spans="2:18" ht="19" thickBot="1" x14ac:dyDescent="0.5">
      <c r="B38" s="6" t="s">
        <v>592</v>
      </c>
      <c r="C38" s="7"/>
      <c r="D38" s="7"/>
      <c r="E38" s="7"/>
      <c r="F38" s="7"/>
      <c r="G38" s="7"/>
      <c r="H38" s="8"/>
      <c r="K38" s="19" t="s">
        <v>595</v>
      </c>
      <c r="L38" s="20"/>
      <c r="M38" s="20"/>
      <c r="N38" s="20"/>
      <c r="O38" s="20"/>
      <c r="P38" s="20"/>
      <c r="Q38" s="13"/>
      <c r="R38" s="8"/>
    </row>
    <row r="39" spans="2:18" ht="19" thickBot="1" x14ac:dyDescent="0.5">
      <c r="K39" s="1"/>
      <c r="L39" s="1"/>
      <c r="M39" s="1"/>
      <c r="N39" s="1"/>
      <c r="O39" s="1"/>
      <c r="P39" s="1"/>
    </row>
    <row r="40" spans="2:18" ht="18.5" x14ac:dyDescent="0.45">
      <c r="B40" s="2" t="s">
        <v>578</v>
      </c>
      <c r="C40" s="3"/>
      <c r="D40" s="4"/>
      <c r="E40" s="4"/>
      <c r="F40" s="4"/>
      <c r="G40" s="4"/>
      <c r="H40" s="5"/>
      <c r="K40" s="14" t="s">
        <v>589</v>
      </c>
      <c r="L40" s="15"/>
      <c r="M40" s="16"/>
      <c r="N40" s="16"/>
      <c r="O40" s="16"/>
      <c r="P40" s="16"/>
      <c r="Q40" s="4"/>
      <c r="R40" s="5"/>
    </row>
    <row r="41" spans="2:18" ht="18.5" x14ac:dyDescent="0.45">
      <c r="B41" s="9"/>
      <c r="C41" s="10"/>
      <c r="D41" s="10"/>
      <c r="E41" s="10"/>
      <c r="F41" s="10"/>
      <c r="G41" s="10"/>
      <c r="H41" s="11"/>
      <c r="K41" s="17"/>
      <c r="L41" s="18"/>
      <c r="M41" s="18"/>
      <c r="N41" s="18"/>
      <c r="O41" s="18"/>
      <c r="P41" s="18"/>
      <c r="Q41" s="10"/>
      <c r="R41" s="11"/>
    </row>
    <row r="42" spans="2:18" ht="19" thickBot="1" x14ac:dyDescent="0.5">
      <c r="B42" s="12" t="s">
        <v>593</v>
      </c>
      <c r="C42" s="13"/>
      <c r="D42" s="13"/>
      <c r="E42" s="13"/>
      <c r="F42" s="13"/>
      <c r="G42" s="13"/>
      <c r="H42" s="8"/>
      <c r="K42" s="19" t="s">
        <v>596</v>
      </c>
      <c r="L42" s="20"/>
      <c r="M42" s="20"/>
      <c r="N42" s="20"/>
      <c r="O42" s="20"/>
      <c r="P42" s="20"/>
      <c r="Q42" s="13"/>
      <c r="R42" s="8"/>
    </row>
    <row r="43" spans="2:18" ht="19" thickBot="1" x14ac:dyDescent="0.5">
      <c r="K43" s="1"/>
      <c r="L43" s="1"/>
      <c r="M43" s="1"/>
      <c r="N43" s="1"/>
      <c r="O43" s="1"/>
      <c r="P43" s="1"/>
    </row>
    <row r="44" spans="2:18" ht="18.5" x14ac:dyDescent="0.45">
      <c r="K44" s="14" t="s">
        <v>583</v>
      </c>
      <c r="L44" s="15"/>
      <c r="M44" s="16"/>
      <c r="N44" s="16"/>
      <c r="O44" s="16"/>
      <c r="P44" s="16"/>
      <c r="Q44" s="4"/>
      <c r="R44" s="5"/>
    </row>
    <row r="45" spans="2:18" ht="18.5" x14ac:dyDescent="0.45">
      <c r="K45" s="17"/>
      <c r="L45" s="18"/>
      <c r="M45" s="18"/>
      <c r="N45" s="18"/>
      <c r="O45" s="18"/>
      <c r="P45" s="18"/>
      <c r="Q45" s="10"/>
      <c r="R45" s="11"/>
    </row>
    <row r="46" spans="2:18" ht="19" thickBot="1" x14ac:dyDescent="0.5">
      <c r="K46" s="19" t="s">
        <v>597</v>
      </c>
      <c r="L46" s="20"/>
      <c r="M46" s="20"/>
      <c r="N46" s="20"/>
      <c r="O46" s="20"/>
      <c r="P46" s="20"/>
      <c r="Q46" s="13"/>
      <c r="R46" s="8"/>
    </row>
  </sheetData>
  <mergeCells count="13">
    <mergeCell ref="B37:H37"/>
    <mergeCell ref="B2:J3"/>
    <mergeCell ref="A30:L31"/>
    <mergeCell ref="D21:G21"/>
    <mergeCell ref="J6:K6"/>
    <mergeCell ref="D5:E5"/>
    <mergeCell ref="K17:L17"/>
    <mergeCell ref="B33:H33"/>
    <mergeCell ref="B35:H35"/>
    <mergeCell ref="A5:B5"/>
    <mergeCell ref="G5:I5"/>
    <mergeCell ref="A14:B14"/>
    <mergeCell ref="D14:E14"/>
  </mergeCells>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Q51"/>
  <sheetViews>
    <sheetView workbookViewId="0">
      <selection activeCell="S8" sqref="S8"/>
    </sheetView>
  </sheetViews>
  <sheetFormatPr defaultRowHeight="14.5" x14ac:dyDescent="0.35"/>
  <sheetData>
    <row r="1" spans="1:17" ht="14.5" customHeight="1" x14ac:dyDescent="0.35">
      <c r="A1" s="65" t="s">
        <v>622</v>
      </c>
      <c r="B1" s="110"/>
      <c r="C1" s="110"/>
      <c r="D1" s="110"/>
      <c r="E1" s="110"/>
      <c r="F1" s="110"/>
      <c r="G1" s="110"/>
      <c r="H1" s="110"/>
      <c r="I1" s="110"/>
      <c r="J1" s="110"/>
      <c r="K1" s="110"/>
      <c r="L1" s="110"/>
      <c r="M1" s="110"/>
      <c r="N1" s="110"/>
      <c r="O1" s="110"/>
      <c r="P1" s="110"/>
      <c r="Q1" s="111"/>
    </row>
    <row r="2" spans="1:17" x14ac:dyDescent="0.35">
      <c r="A2" s="112"/>
      <c r="B2" s="104"/>
      <c r="C2" s="104"/>
      <c r="D2" s="104"/>
      <c r="E2" s="104"/>
      <c r="F2" s="104"/>
      <c r="G2" s="104"/>
      <c r="H2" s="104"/>
      <c r="I2" s="104"/>
      <c r="J2" s="104"/>
      <c r="K2" s="104"/>
      <c r="L2" s="104"/>
      <c r="M2" s="104"/>
      <c r="N2" s="104"/>
      <c r="O2" s="104"/>
      <c r="P2" s="104"/>
      <c r="Q2" s="113"/>
    </row>
    <row r="3" spans="1:17" ht="15" thickBot="1" x14ac:dyDescent="0.4">
      <c r="A3" s="114"/>
      <c r="B3" s="115"/>
      <c r="C3" s="115"/>
      <c r="D3" s="115"/>
      <c r="E3" s="115"/>
      <c r="F3" s="115"/>
      <c r="G3" s="115"/>
      <c r="H3" s="115"/>
      <c r="I3" s="115"/>
      <c r="J3" s="115"/>
      <c r="K3" s="115"/>
      <c r="L3" s="115"/>
      <c r="M3" s="115"/>
      <c r="N3" s="115"/>
      <c r="O3" s="115"/>
      <c r="P3" s="115"/>
      <c r="Q3" s="116"/>
    </row>
    <row r="4" spans="1:17" x14ac:dyDescent="0.35">
      <c r="A4" s="105"/>
      <c r="B4" s="10"/>
      <c r="C4" s="10"/>
      <c r="D4" s="10"/>
      <c r="E4" s="10"/>
      <c r="F4" s="10"/>
      <c r="G4" s="10"/>
      <c r="H4" s="10"/>
      <c r="I4" s="10"/>
      <c r="J4" s="10"/>
      <c r="K4" s="10"/>
      <c r="L4" s="10"/>
      <c r="M4" s="10"/>
      <c r="N4" s="10"/>
      <c r="O4" s="10"/>
      <c r="P4" s="10"/>
      <c r="Q4" s="106"/>
    </row>
    <row r="5" spans="1:17" x14ac:dyDescent="0.35">
      <c r="A5" s="105"/>
      <c r="B5" s="10"/>
      <c r="C5" s="10"/>
      <c r="D5" s="10"/>
      <c r="E5" s="10"/>
      <c r="F5" s="10"/>
      <c r="G5" s="10"/>
      <c r="H5" s="10"/>
      <c r="I5" s="10"/>
      <c r="J5" s="10"/>
      <c r="K5" s="10"/>
      <c r="L5" s="10"/>
      <c r="M5" s="10"/>
      <c r="N5" s="10"/>
      <c r="O5" s="10"/>
      <c r="P5" s="10"/>
      <c r="Q5" s="106"/>
    </row>
    <row r="6" spans="1:17" x14ac:dyDescent="0.35">
      <c r="A6" s="105"/>
      <c r="B6" s="10"/>
      <c r="C6" s="10"/>
      <c r="D6" s="10"/>
      <c r="E6" s="10"/>
      <c r="F6" s="10"/>
      <c r="G6" s="10"/>
      <c r="H6" s="10"/>
      <c r="I6" s="10"/>
      <c r="J6" s="10"/>
      <c r="K6" s="10"/>
      <c r="L6" s="10"/>
      <c r="M6" s="10"/>
      <c r="N6" s="10"/>
      <c r="O6" s="10"/>
      <c r="P6" s="10"/>
      <c r="Q6" s="106"/>
    </row>
    <row r="7" spans="1:17" x14ac:dyDescent="0.35">
      <c r="A7" s="105"/>
      <c r="B7" s="10"/>
      <c r="C7" s="10"/>
      <c r="D7" s="10"/>
      <c r="E7" s="10"/>
      <c r="F7" s="10"/>
      <c r="G7" s="10"/>
      <c r="H7" s="10"/>
      <c r="I7" s="10"/>
      <c r="J7" s="10"/>
      <c r="K7" s="10"/>
      <c r="L7" s="10"/>
      <c r="M7" s="10"/>
      <c r="N7" s="10"/>
      <c r="O7" s="10"/>
      <c r="P7" s="10"/>
      <c r="Q7" s="106"/>
    </row>
    <row r="8" spans="1:17" x14ac:dyDescent="0.35">
      <c r="A8" s="105"/>
      <c r="B8" s="10"/>
      <c r="C8" s="10"/>
      <c r="D8" s="10"/>
      <c r="E8" s="10"/>
      <c r="F8" s="10"/>
      <c r="G8" s="10"/>
      <c r="H8" s="10"/>
      <c r="I8" s="10"/>
      <c r="J8" s="10"/>
      <c r="K8" s="10"/>
      <c r="L8" s="10"/>
      <c r="M8" s="10"/>
      <c r="N8" s="10"/>
      <c r="O8" s="10"/>
      <c r="P8" s="10"/>
      <c r="Q8" s="106"/>
    </row>
    <row r="9" spans="1:17" x14ac:dyDescent="0.35">
      <c r="A9" s="105"/>
      <c r="B9" s="10"/>
      <c r="C9" s="10"/>
      <c r="D9" s="10"/>
      <c r="E9" s="10"/>
      <c r="F9" s="10"/>
      <c r="G9" s="10"/>
      <c r="H9" s="10"/>
      <c r="I9" s="10"/>
      <c r="J9" s="10"/>
      <c r="K9" s="10"/>
      <c r="L9" s="10"/>
      <c r="M9" s="10"/>
      <c r="N9" s="10"/>
      <c r="O9" s="10"/>
      <c r="P9" s="10"/>
      <c r="Q9" s="106"/>
    </row>
    <row r="10" spans="1:17" x14ac:dyDescent="0.35">
      <c r="A10" s="105"/>
      <c r="B10" s="10"/>
      <c r="C10" s="10"/>
      <c r="D10" s="10"/>
      <c r="E10" s="10"/>
      <c r="F10" s="10"/>
      <c r="G10" s="10"/>
      <c r="H10" s="10"/>
      <c r="I10" s="10"/>
      <c r="J10" s="10"/>
      <c r="K10" s="10"/>
      <c r="L10" s="10"/>
      <c r="M10" s="10"/>
      <c r="N10" s="10"/>
      <c r="O10" s="10"/>
      <c r="P10" s="10"/>
      <c r="Q10" s="106"/>
    </row>
    <row r="11" spans="1:17" x14ac:dyDescent="0.35">
      <c r="A11" s="105"/>
      <c r="B11" s="10"/>
      <c r="C11" s="10"/>
      <c r="D11" s="10"/>
      <c r="E11" s="10"/>
      <c r="F11" s="10"/>
      <c r="G11" s="10"/>
      <c r="H11" s="10"/>
      <c r="I11" s="10"/>
      <c r="J11" s="10"/>
      <c r="K11" s="10"/>
      <c r="L11" s="10"/>
      <c r="M11" s="10"/>
      <c r="N11" s="10"/>
      <c r="O11" s="10"/>
      <c r="P11" s="10"/>
      <c r="Q11" s="106"/>
    </row>
    <row r="12" spans="1:17" x14ac:dyDescent="0.35">
      <c r="A12" s="105"/>
      <c r="B12" s="10"/>
      <c r="C12" s="10"/>
      <c r="D12" s="10"/>
      <c r="E12" s="10"/>
      <c r="F12" s="10"/>
      <c r="G12" s="10"/>
      <c r="H12" s="10"/>
      <c r="I12" s="10"/>
      <c r="J12" s="10"/>
      <c r="K12" s="10"/>
      <c r="L12" s="10"/>
      <c r="M12" s="10"/>
      <c r="N12" s="10"/>
      <c r="O12" s="10"/>
      <c r="P12" s="10"/>
      <c r="Q12" s="106"/>
    </row>
    <row r="13" spans="1:17" x14ac:dyDescent="0.35">
      <c r="A13" s="105"/>
      <c r="B13" s="10"/>
      <c r="C13" s="10"/>
      <c r="D13" s="10"/>
      <c r="E13" s="10"/>
      <c r="F13" s="10"/>
      <c r="G13" s="10"/>
      <c r="H13" s="10"/>
      <c r="I13" s="10"/>
      <c r="J13" s="10"/>
      <c r="K13" s="10"/>
      <c r="L13" s="10"/>
      <c r="M13" s="10"/>
      <c r="N13" s="10"/>
      <c r="O13" s="10"/>
      <c r="P13" s="10"/>
      <c r="Q13" s="106"/>
    </row>
    <row r="14" spans="1:17" x14ac:dyDescent="0.35">
      <c r="A14" s="105"/>
      <c r="B14" s="10"/>
      <c r="C14" s="10"/>
      <c r="D14" s="10"/>
      <c r="E14" s="10"/>
      <c r="F14" s="10"/>
      <c r="G14" s="10"/>
      <c r="H14" s="10"/>
      <c r="I14" s="10"/>
      <c r="J14" s="10"/>
      <c r="K14" s="10"/>
      <c r="L14" s="10"/>
      <c r="M14" s="10"/>
      <c r="N14" s="10"/>
      <c r="O14" s="10"/>
      <c r="P14" s="10"/>
      <c r="Q14" s="106"/>
    </row>
    <row r="15" spans="1:17" x14ac:dyDescent="0.35">
      <c r="A15" s="105"/>
      <c r="B15" s="10"/>
      <c r="C15" s="10"/>
      <c r="D15" s="10"/>
      <c r="E15" s="10"/>
      <c r="F15" s="10"/>
      <c r="G15" s="10"/>
      <c r="H15" s="10"/>
      <c r="I15" s="10"/>
      <c r="J15" s="10"/>
      <c r="K15" s="10"/>
      <c r="L15" s="10"/>
      <c r="M15" s="10"/>
      <c r="N15" s="10"/>
      <c r="O15" s="10"/>
      <c r="P15" s="10"/>
      <c r="Q15" s="106"/>
    </row>
    <row r="16" spans="1:17" x14ac:dyDescent="0.35">
      <c r="A16" s="105"/>
      <c r="B16" s="10"/>
      <c r="C16" s="10"/>
      <c r="D16" s="10"/>
      <c r="E16" s="10"/>
      <c r="F16" s="10"/>
      <c r="G16" s="10"/>
      <c r="H16" s="10"/>
      <c r="I16" s="10"/>
      <c r="J16" s="10"/>
      <c r="K16" s="10"/>
      <c r="L16" s="10"/>
      <c r="M16" s="10"/>
      <c r="N16" s="10"/>
      <c r="O16" s="10"/>
      <c r="P16" s="10"/>
      <c r="Q16" s="106"/>
    </row>
    <row r="17" spans="1:17" x14ac:dyDescent="0.35">
      <c r="A17" s="105"/>
      <c r="B17" s="10"/>
      <c r="C17" s="10"/>
      <c r="D17" s="10"/>
      <c r="E17" s="10"/>
      <c r="F17" s="10"/>
      <c r="G17" s="10"/>
      <c r="H17" s="10"/>
      <c r="I17" s="10"/>
      <c r="J17" s="10"/>
      <c r="K17" s="10"/>
      <c r="L17" s="10"/>
      <c r="M17" s="10"/>
      <c r="N17" s="10"/>
      <c r="O17" s="10"/>
      <c r="P17" s="10"/>
      <c r="Q17" s="106"/>
    </row>
    <row r="18" spans="1:17" x14ac:dyDescent="0.35">
      <c r="A18" s="105"/>
      <c r="B18" s="10"/>
      <c r="C18" s="10"/>
      <c r="D18" s="10"/>
      <c r="E18" s="10"/>
      <c r="F18" s="10"/>
      <c r="G18" s="10"/>
      <c r="H18" s="10"/>
      <c r="I18" s="10"/>
      <c r="J18" s="10"/>
      <c r="K18" s="10"/>
      <c r="L18" s="10"/>
      <c r="M18" s="10"/>
      <c r="N18" s="10"/>
      <c r="O18" s="10"/>
      <c r="P18" s="10"/>
      <c r="Q18" s="106"/>
    </row>
    <row r="19" spans="1:17" x14ac:dyDescent="0.35">
      <c r="A19" s="105"/>
      <c r="B19" s="10"/>
      <c r="C19" s="10"/>
      <c r="D19" s="10"/>
      <c r="E19" s="10"/>
      <c r="F19" s="10"/>
      <c r="G19" s="10"/>
      <c r="H19" s="10"/>
      <c r="I19" s="10"/>
      <c r="J19" s="10"/>
      <c r="K19" s="10"/>
      <c r="L19" s="10"/>
      <c r="M19" s="10"/>
      <c r="N19" s="10"/>
      <c r="O19" s="10"/>
      <c r="P19" s="10"/>
      <c r="Q19" s="106"/>
    </row>
    <row r="20" spans="1:17" x14ac:dyDescent="0.35">
      <c r="A20" s="105"/>
      <c r="B20" s="10"/>
      <c r="C20" s="10"/>
      <c r="D20" s="10"/>
      <c r="E20" s="10"/>
      <c r="F20" s="10"/>
      <c r="G20" s="10"/>
      <c r="H20" s="10"/>
      <c r="I20" s="10"/>
      <c r="J20" s="10"/>
      <c r="K20" s="10"/>
      <c r="L20" s="10"/>
      <c r="M20" s="10"/>
      <c r="N20" s="10"/>
      <c r="O20" s="10"/>
      <c r="P20" s="10"/>
      <c r="Q20" s="106"/>
    </row>
    <row r="21" spans="1:17" x14ac:dyDescent="0.35">
      <c r="A21" s="105"/>
      <c r="B21" s="10"/>
      <c r="C21" s="10"/>
      <c r="D21" s="10"/>
      <c r="E21" s="10"/>
      <c r="F21" s="10"/>
      <c r="G21" s="10"/>
      <c r="H21" s="10"/>
      <c r="I21" s="10"/>
      <c r="J21" s="10"/>
      <c r="K21" s="10"/>
      <c r="L21" s="10"/>
      <c r="M21" s="10"/>
      <c r="N21" s="10"/>
      <c r="O21" s="10"/>
      <c r="P21" s="10"/>
      <c r="Q21" s="106"/>
    </row>
    <row r="22" spans="1:17" x14ac:dyDescent="0.35">
      <c r="A22" s="105"/>
      <c r="B22" s="10"/>
      <c r="C22" s="10"/>
      <c r="D22" s="10"/>
      <c r="E22" s="10"/>
      <c r="F22" s="10"/>
      <c r="G22" s="10"/>
      <c r="H22" s="10"/>
      <c r="I22" s="10"/>
      <c r="J22" s="10"/>
      <c r="K22" s="10"/>
      <c r="L22" s="10"/>
      <c r="M22" s="10"/>
      <c r="N22" s="10"/>
      <c r="O22" s="10"/>
      <c r="P22" s="10"/>
      <c r="Q22" s="106"/>
    </row>
    <row r="23" spans="1:17" x14ac:dyDescent="0.35">
      <c r="A23" s="105"/>
      <c r="B23" s="10"/>
      <c r="C23" s="10"/>
      <c r="D23" s="10"/>
      <c r="E23" s="10"/>
      <c r="F23" s="10"/>
      <c r="G23" s="10"/>
      <c r="H23" s="10"/>
      <c r="I23" s="10"/>
      <c r="J23" s="10"/>
      <c r="K23" s="10"/>
      <c r="L23" s="10"/>
      <c r="M23" s="10"/>
      <c r="N23" s="10"/>
      <c r="O23" s="10"/>
      <c r="P23" s="10"/>
      <c r="Q23" s="106"/>
    </row>
    <row r="24" spans="1:17" x14ac:dyDescent="0.35">
      <c r="A24" s="105"/>
      <c r="B24" s="10"/>
      <c r="C24" s="10"/>
      <c r="D24" s="10"/>
      <c r="E24" s="10"/>
      <c r="F24" s="10"/>
      <c r="G24" s="10"/>
      <c r="H24" s="10"/>
      <c r="I24" s="10"/>
      <c r="J24" s="10"/>
      <c r="K24" s="10"/>
      <c r="L24" s="10"/>
      <c r="M24" s="10"/>
      <c r="N24" s="10"/>
      <c r="O24" s="10"/>
      <c r="P24" s="10"/>
      <c r="Q24" s="106"/>
    </row>
    <row r="25" spans="1:17" x14ac:dyDescent="0.35">
      <c r="A25" s="105"/>
      <c r="B25" s="10"/>
      <c r="C25" s="10"/>
      <c r="D25" s="10"/>
      <c r="E25" s="10"/>
      <c r="F25" s="10"/>
      <c r="G25" s="10"/>
      <c r="H25" s="10"/>
      <c r="I25" s="10"/>
      <c r="J25" s="10"/>
      <c r="K25" s="10"/>
      <c r="L25" s="10"/>
      <c r="M25" s="10"/>
      <c r="N25" s="10"/>
      <c r="O25" s="10"/>
      <c r="P25" s="10"/>
      <c r="Q25" s="106"/>
    </row>
    <row r="26" spans="1:17" x14ac:dyDescent="0.35">
      <c r="A26" s="105"/>
      <c r="B26" s="10"/>
      <c r="C26" s="10"/>
      <c r="D26" s="10"/>
      <c r="E26" s="10"/>
      <c r="F26" s="10"/>
      <c r="G26" s="10"/>
      <c r="H26" s="10"/>
      <c r="I26" s="10"/>
      <c r="J26" s="10"/>
      <c r="K26" s="10"/>
      <c r="L26" s="10"/>
      <c r="M26" s="10"/>
      <c r="N26" s="10"/>
      <c r="O26" s="10"/>
      <c r="P26" s="10"/>
      <c r="Q26" s="106"/>
    </row>
    <row r="27" spans="1:17" x14ac:dyDescent="0.35">
      <c r="A27" s="105"/>
      <c r="B27" s="10"/>
      <c r="C27" s="10"/>
      <c r="D27" s="10"/>
      <c r="E27" s="10"/>
      <c r="F27" s="10"/>
      <c r="G27" s="10"/>
      <c r="H27" s="10"/>
      <c r="I27" s="10"/>
      <c r="J27" s="10"/>
      <c r="K27" s="10"/>
      <c r="L27" s="10"/>
      <c r="M27" s="10"/>
      <c r="N27" s="10"/>
      <c r="O27" s="10"/>
      <c r="P27" s="10"/>
      <c r="Q27" s="106"/>
    </row>
    <row r="28" spans="1:17" x14ac:dyDescent="0.35">
      <c r="A28" s="105"/>
      <c r="B28" s="10"/>
      <c r="C28" s="10"/>
      <c r="D28" s="10"/>
      <c r="E28" s="10"/>
      <c r="F28" s="10"/>
      <c r="G28" s="10"/>
      <c r="H28" s="10"/>
      <c r="I28" s="10"/>
      <c r="J28" s="10"/>
      <c r="K28" s="10"/>
      <c r="L28" s="10"/>
      <c r="M28" s="10"/>
      <c r="N28" s="10"/>
      <c r="O28" s="10"/>
      <c r="P28" s="10"/>
      <c r="Q28" s="106"/>
    </row>
    <row r="29" spans="1:17" x14ac:dyDescent="0.35">
      <c r="A29" s="105"/>
      <c r="B29" s="10"/>
      <c r="C29" s="10"/>
      <c r="D29" s="10"/>
      <c r="E29" s="10"/>
      <c r="F29" s="10"/>
      <c r="G29" s="10"/>
      <c r="H29" s="10"/>
      <c r="I29" s="10"/>
      <c r="J29" s="10"/>
      <c r="K29" s="10"/>
      <c r="L29" s="10"/>
      <c r="M29" s="10"/>
      <c r="N29" s="10"/>
      <c r="O29" s="10"/>
      <c r="P29" s="10"/>
      <c r="Q29" s="106"/>
    </row>
    <row r="30" spans="1:17" x14ac:dyDescent="0.35">
      <c r="A30" s="105"/>
      <c r="B30" s="10"/>
      <c r="C30" s="10"/>
      <c r="D30" s="10"/>
      <c r="E30" s="10"/>
      <c r="F30" s="10"/>
      <c r="G30" s="10"/>
      <c r="H30" s="10"/>
      <c r="I30" s="10"/>
      <c r="J30" s="10"/>
      <c r="K30" s="10"/>
      <c r="L30" s="10"/>
      <c r="M30" s="10"/>
      <c r="N30" s="10"/>
      <c r="O30" s="10"/>
      <c r="P30" s="10"/>
      <c r="Q30" s="106"/>
    </row>
    <row r="31" spans="1:17" x14ac:dyDescent="0.35">
      <c r="A31" s="105"/>
      <c r="B31" s="10"/>
      <c r="C31" s="10"/>
      <c r="D31" s="10"/>
      <c r="E31" s="10"/>
      <c r="F31" s="10"/>
      <c r="G31" s="10"/>
      <c r="H31" s="10"/>
      <c r="I31" s="10"/>
      <c r="J31" s="10"/>
      <c r="K31" s="10"/>
      <c r="L31" s="10"/>
      <c r="M31" s="10"/>
      <c r="N31" s="10"/>
      <c r="O31" s="10"/>
      <c r="P31" s="10"/>
      <c r="Q31" s="106"/>
    </row>
    <row r="32" spans="1:17" x14ac:dyDescent="0.35">
      <c r="A32" s="105"/>
      <c r="B32" s="10"/>
      <c r="C32" s="10"/>
      <c r="D32" s="10"/>
      <c r="E32" s="10"/>
      <c r="F32" s="10"/>
      <c r="G32" s="10"/>
      <c r="H32" s="10"/>
      <c r="I32" s="10"/>
      <c r="J32" s="10"/>
      <c r="K32" s="10"/>
      <c r="L32" s="10"/>
      <c r="M32" s="10"/>
      <c r="N32" s="10"/>
      <c r="O32" s="10"/>
      <c r="P32" s="10"/>
      <c r="Q32" s="106"/>
    </row>
    <row r="33" spans="1:17" x14ac:dyDescent="0.35">
      <c r="A33" s="105"/>
      <c r="B33" s="10"/>
      <c r="C33" s="10"/>
      <c r="D33" s="10"/>
      <c r="E33" s="10"/>
      <c r="F33" s="10"/>
      <c r="G33" s="10"/>
      <c r="H33" s="10"/>
      <c r="I33" s="10"/>
      <c r="J33" s="10"/>
      <c r="K33" s="10"/>
      <c r="L33" s="10"/>
      <c r="M33" s="10"/>
      <c r="N33" s="10"/>
      <c r="O33" s="10"/>
      <c r="P33" s="10"/>
      <c r="Q33" s="106"/>
    </row>
    <row r="34" spans="1:17" x14ac:dyDescent="0.35">
      <c r="A34" s="105"/>
      <c r="B34" s="10"/>
      <c r="C34" s="10"/>
      <c r="D34" s="10"/>
      <c r="E34" s="10"/>
      <c r="F34" s="10"/>
      <c r="G34" s="10"/>
      <c r="H34" s="10"/>
      <c r="I34" s="10"/>
      <c r="J34" s="10"/>
      <c r="K34" s="10"/>
      <c r="L34" s="10"/>
      <c r="M34" s="10"/>
      <c r="N34" s="10"/>
      <c r="O34" s="10"/>
      <c r="P34" s="10"/>
      <c r="Q34" s="106"/>
    </row>
    <row r="35" spans="1:17" x14ac:dyDescent="0.35">
      <c r="A35" s="105"/>
      <c r="B35" s="10"/>
      <c r="C35" s="10"/>
      <c r="D35" s="10"/>
      <c r="E35" s="10"/>
      <c r="F35" s="10"/>
      <c r="G35" s="10"/>
      <c r="H35" s="10"/>
      <c r="I35" s="10"/>
      <c r="J35" s="10"/>
      <c r="K35" s="10"/>
      <c r="L35" s="10"/>
      <c r="M35" s="10"/>
      <c r="N35" s="10"/>
      <c r="O35" s="10"/>
      <c r="P35" s="10"/>
      <c r="Q35" s="106"/>
    </row>
    <row r="36" spans="1:17" x14ac:dyDescent="0.35">
      <c r="A36" s="105"/>
      <c r="B36" s="10"/>
      <c r="C36" s="10"/>
      <c r="D36" s="10"/>
      <c r="E36" s="10"/>
      <c r="F36" s="10"/>
      <c r="G36" s="10"/>
      <c r="H36" s="10"/>
      <c r="I36" s="10"/>
      <c r="J36" s="10"/>
      <c r="K36" s="10"/>
      <c r="L36" s="10"/>
      <c r="M36" s="10"/>
      <c r="N36" s="10"/>
      <c r="O36" s="10"/>
      <c r="P36" s="10"/>
      <c r="Q36" s="106"/>
    </row>
    <row r="37" spans="1:17" x14ac:dyDescent="0.35">
      <c r="A37" s="105"/>
      <c r="B37" s="10"/>
      <c r="C37" s="10"/>
      <c r="D37" s="10"/>
      <c r="E37" s="10"/>
      <c r="F37" s="10"/>
      <c r="G37" s="10"/>
      <c r="H37" s="10"/>
      <c r="I37" s="10"/>
      <c r="J37" s="10"/>
      <c r="K37" s="10"/>
      <c r="L37" s="10"/>
      <c r="M37" s="10"/>
      <c r="N37" s="10"/>
      <c r="O37" s="10"/>
      <c r="P37" s="10"/>
      <c r="Q37" s="106"/>
    </row>
    <row r="38" spans="1:17" x14ac:dyDescent="0.35">
      <c r="A38" s="105"/>
      <c r="B38" s="10"/>
      <c r="C38" s="10"/>
      <c r="D38" s="10"/>
      <c r="E38" s="10"/>
      <c r="F38" s="10"/>
      <c r="G38" s="10"/>
      <c r="H38" s="10"/>
      <c r="I38" s="10"/>
      <c r="J38" s="10"/>
      <c r="K38" s="10"/>
      <c r="L38" s="10"/>
      <c r="M38" s="10"/>
      <c r="N38" s="10"/>
      <c r="O38" s="10"/>
      <c r="P38" s="10"/>
      <c r="Q38" s="106"/>
    </row>
    <row r="39" spans="1:17" x14ac:dyDescent="0.35">
      <c r="A39" s="105"/>
      <c r="B39" s="10"/>
      <c r="C39" s="10"/>
      <c r="D39" s="10"/>
      <c r="E39" s="10"/>
      <c r="F39" s="10"/>
      <c r="G39" s="10"/>
      <c r="H39" s="10"/>
      <c r="I39" s="10"/>
      <c r="J39" s="10"/>
      <c r="K39" s="10"/>
      <c r="L39" s="10"/>
      <c r="M39" s="10"/>
      <c r="N39" s="10"/>
      <c r="O39" s="10"/>
      <c r="P39" s="10"/>
      <c r="Q39" s="106"/>
    </row>
    <row r="40" spans="1:17" x14ac:dyDescent="0.35">
      <c r="A40" s="105"/>
      <c r="B40" s="10"/>
      <c r="C40" s="10"/>
      <c r="D40" s="10"/>
      <c r="E40" s="10"/>
      <c r="F40" s="10"/>
      <c r="G40" s="10"/>
      <c r="H40" s="10"/>
      <c r="I40" s="10"/>
      <c r="J40" s="10"/>
      <c r="K40" s="10"/>
      <c r="L40" s="10"/>
      <c r="M40" s="10"/>
      <c r="N40" s="10"/>
      <c r="O40" s="10"/>
      <c r="P40" s="10"/>
      <c r="Q40" s="106"/>
    </row>
    <row r="41" spans="1:17" x14ac:dyDescent="0.35">
      <c r="A41" s="105"/>
      <c r="B41" s="10"/>
      <c r="C41" s="10"/>
      <c r="D41" s="10"/>
      <c r="E41" s="10"/>
      <c r="F41" s="10"/>
      <c r="G41" s="10"/>
      <c r="H41" s="10"/>
      <c r="I41" s="10"/>
      <c r="J41" s="10"/>
      <c r="K41" s="10"/>
      <c r="L41" s="10"/>
      <c r="M41" s="10"/>
      <c r="N41" s="10"/>
      <c r="O41" s="10"/>
      <c r="P41" s="10"/>
      <c r="Q41" s="106"/>
    </row>
    <row r="42" spans="1:17" x14ac:dyDescent="0.35">
      <c r="A42" s="105"/>
      <c r="B42" s="10"/>
      <c r="C42" s="10"/>
      <c r="D42" s="10"/>
      <c r="E42" s="10"/>
      <c r="F42" s="10"/>
      <c r="G42" s="10"/>
      <c r="H42" s="10"/>
      <c r="I42" s="10"/>
      <c r="J42" s="10"/>
      <c r="K42" s="10"/>
      <c r="L42" s="10"/>
      <c r="M42" s="10"/>
      <c r="N42" s="10"/>
      <c r="O42" s="10"/>
      <c r="P42" s="10"/>
      <c r="Q42" s="106"/>
    </row>
    <row r="43" spans="1:17" x14ac:dyDescent="0.35">
      <c r="A43" s="105"/>
      <c r="B43" s="10"/>
      <c r="C43" s="10"/>
      <c r="D43" s="10"/>
      <c r="E43" s="10"/>
      <c r="F43" s="10"/>
      <c r="G43" s="10"/>
      <c r="H43" s="10"/>
      <c r="I43" s="10"/>
      <c r="J43" s="10"/>
      <c r="K43" s="10"/>
      <c r="L43" s="10"/>
      <c r="M43" s="10"/>
      <c r="N43" s="10"/>
      <c r="O43" s="10"/>
      <c r="P43" s="10"/>
      <c r="Q43" s="106"/>
    </row>
    <row r="44" spans="1:17" x14ac:dyDescent="0.35">
      <c r="A44" s="105"/>
      <c r="B44" s="10"/>
      <c r="C44" s="10"/>
      <c r="D44" s="10"/>
      <c r="E44" s="10"/>
      <c r="F44" s="10"/>
      <c r="G44" s="10"/>
      <c r="H44" s="10"/>
      <c r="I44" s="10"/>
      <c r="J44" s="10"/>
      <c r="K44" s="10"/>
      <c r="L44" s="10"/>
      <c r="M44" s="10"/>
      <c r="N44" s="10"/>
      <c r="O44" s="10"/>
      <c r="P44" s="10"/>
      <c r="Q44" s="106"/>
    </row>
    <row r="45" spans="1:17" x14ac:dyDescent="0.35">
      <c r="A45" s="105"/>
      <c r="B45" s="10"/>
      <c r="C45" s="10"/>
      <c r="D45" s="10"/>
      <c r="E45" s="10"/>
      <c r="F45" s="10"/>
      <c r="G45" s="10"/>
      <c r="H45" s="10"/>
      <c r="I45" s="10"/>
      <c r="J45" s="10"/>
      <c r="K45" s="10"/>
      <c r="L45" s="10"/>
      <c r="M45" s="10"/>
      <c r="N45" s="10"/>
      <c r="O45" s="10"/>
      <c r="P45" s="10"/>
      <c r="Q45" s="106"/>
    </row>
    <row r="46" spans="1:17" x14ac:dyDescent="0.35">
      <c r="A46" s="105"/>
      <c r="B46" s="10"/>
      <c r="C46" s="10"/>
      <c r="D46" s="10"/>
      <c r="E46" s="10"/>
      <c r="F46" s="10"/>
      <c r="G46" s="10"/>
      <c r="H46" s="10"/>
      <c r="I46" s="10"/>
      <c r="J46" s="10"/>
      <c r="K46" s="10"/>
      <c r="L46" s="10"/>
      <c r="M46" s="10"/>
      <c r="N46" s="10"/>
      <c r="O46" s="10"/>
      <c r="P46" s="10"/>
      <c r="Q46" s="106"/>
    </row>
    <row r="47" spans="1:17" x14ac:dyDescent="0.35">
      <c r="A47" s="105"/>
      <c r="B47" s="10"/>
      <c r="C47" s="10"/>
      <c r="D47" s="10"/>
      <c r="E47" s="10"/>
      <c r="F47" s="10"/>
      <c r="G47" s="10"/>
      <c r="H47" s="10"/>
      <c r="I47" s="10"/>
      <c r="J47" s="10"/>
      <c r="K47" s="10"/>
      <c r="L47" s="10"/>
      <c r="M47" s="10"/>
      <c r="N47" s="10"/>
      <c r="O47" s="10"/>
      <c r="P47" s="10"/>
      <c r="Q47" s="106"/>
    </row>
    <row r="48" spans="1:17" x14ac:dyDescent="0.35">
      <c r="A48" s="105"/>
      <c r="B48" s="10"/>
      <c r="C48" s="10"/>
      <c r="D48" s="10"/>
      <c r="E48" s="10"/>
      <c r="F48" s="10"/>
      <c r="G48" s="10"/>
      <c r="H48" s="10"/>
      <c r="I48" s="10"/>
      <c r="J48" s="10"/>
      <c r="K48" s="10"/>
      <c r="L48" s="10"/>
      <c r="M48" s="10"/>
      <c r="N48" s="10"/>
      <c r="O48" s="10"/>
      <c r="P48" s="10"/>
      <c r="Q48" s="106"/>
    </row>
    <row r="49" spans="1:17" x14ac:dyDescent="0.35">
      <c r="A49" s="105"/>
      <c r="B49" s="10"/>
      <c r="C49" s="10"/>
      <c r="D49" s="10"/>
      <c r="E49" s="10"/>
      <c r="F49" s="10"/>
      <c r="G49" s="10"/>
      <c r="H49" s="10"/>
      <c r="I49" s="10"/>
      <c r="J49" s="10"/>
      <c r="K49" s="10"/>
      <c r="L49" s="10"/>
      <c r="M49" s="10"/>
      <c r="N49" s="10"/>
      <c r="O49" s="10"/>
      <c r="P49" s="10"/>
      <c r="Q49" s="106"/>
    </row>
    <row r="50" spans="1:17" x14ac:dyDescent="0.35">
      <c r="A50" s="105"/>
      <c r="B50" s="10"/>
      <c r="C50" s="10"/>
      <c r="D50" s="10"/>
      <c r="E50" s="10"/>
      <c r="F50" s="10"/>
      <c r="G50" s="10"/>
      <c r="H50" s="10"/>
      <c r="I50" s="10"/>
      <c r="J50" s="10"/>
      <c r="K50" s="10"/>
      <c r="L50" s="10"/>
      <c r="M50" s="10"/>
      <c r="N50" s="10"/>
      <c r="O50" s="10"/>
      <c r="P50" s="10"/>
      <c r="Q50" s="106"/>
    </row>
    <row r="51" spans="1:17" x14ac:dyDescent="0.35">
      <c r="A51" s="107"/>
      <c r="B51" s="108"/>
      <c r="C51" s="108"/>
      <c r="D51" s="108"/>
      <c r="E51" s="108"/>
      <c r="F51" s="108"/>
      <c r="G51" s="108"/>
      <c r="H51" s="108"/>
      <c r="I51" s="108"/>
      <c r="J51" s="108"/>
      <c r="K51" s="108"/>
      <c r="L51" s="108"/>
      <c r="M51" s="108"/>
      <c r="N51" s="108"/>
      <c r="O51" s="108"/>
      <c r="P51" s="108"/>
      <c r="Q51" s="109"/>
    </row>
  </sheetData>
  <mergeCells count="1">
    <mergeCell ref="A1:Q3"/>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89999084444715716"/>
  </sheetPr>
  <dimension ref="A1:L20"/>
  <sheetViews>
    <sheetView workbookViewId="0">
      <selection activeCell="N15" sqref="N15"/>
    </sheetView>
  </sheetViews>
  <sheetFormatPr defaultRowHeight="14.5" x14ac:dyDescent="0.35"/>
  <cols>
    <col min="6" max="6" width="12.453125" customWidth="1"/>
  </cols>
  <sheetData>
    <row r="1" spans="1:12" x14ac:dyDescent="0.35">
      <c r="A1" s="117" t="s">
        <v>625</v>
      </c>
      <c r="B1" s="118"/>
      <c r="C1" s="118"/>
      <c r="D1" s="118"/>
      <c r="E1" s="118"/>
      <c r="F1" s="118"/>
      <c r="G1" s="118"/>
      <c r="H1" s="118"/>
      <c r="I1" s="118"/>
      <c r="J1" s="118"/>
      <c r="K1" s="118"/>
      <c r="L1" s="119"/>
    </row>
    <row r="2" spans="1:12" ht="15" thickBot="1" x14ac:dyDescent="0.4">
      <c r="A2" s="30"/>
      <c r="B2" s="10"/>
      <c r="C2" s="10"/>
      <c r="D2" s="10"/>
      <c r="E2" s="10"/>
      <c r="F2" s="10"/>
      <c r="G2" s="10"/>
      <c r="H2" s="10"/>
      <c r="I2" s="10"/>
      <c r="J2" s="10"/>
      <c r="K2" s="10"/>
      <c r="L2" s="11"/>
    </row>
    <row r="3" spans="1:12" x14ac:dyDescent="0.35">
      <c r="A3" s="122" t="s">
        <v>626</v>
      </c>
      <c r="B3" s="123"/>
      <c r="C3" s="10"/>
      <c r="D3" s="10"/>
      <c r="E3" s="10"/>
      <c r="F3" s="10"/>
      <c r="G3" s="10"/>
      <c r="H3" s="10"/>
      <c r="I3" s="10"/>
      <c r="J3" s="10"/>
      <c r="K3" s="10"/>
      <c r="L3" s="11"/>
    </row>
    <row r="4" spans="1:12" x14ac:dyDescent="0.35">
      <c r="A4" s="98" t="s">
        <v>627</v>
      </c>
      <c r="B4" s="99">
        <v>0.85640454861842596</v>
      </c>
      <c r="C4" s="10"/>
      <c r="D4" s="10"/>
      <c r="E4" s="10"/>
      <c r="F4" s="10"/>
      <c r="G4" s="10"/>
      <c r="H4" s="10"/>
      <c r="I4" s="10"/>
      <c r="J4" s="10"/>
      <c r="K4" s="10"/>
      <c r="L4" s="11"/>
    </row>
    <row r="5" spans="1:12" x14ac:dyDescent="0.35">
      <c r="A5" s="98" t="s">
        <v>628</v>
      </c>
      <c r="B5" s="99">
        <v>0.73342875089432991</v>
      </c>
      <c r="C5" s="10"/>
      <c r="D5" s="10"/>
      <c r="E5" s="10"/>
      <c r="F5" s="10"/>
      <c r="G5" s="10"/>
      <c r="H5" s="10"/>
      <c r="I5" s="10"/>
      <c r="J5" s="10"/>
      <c r="K5" s="10"/>
      <c r="L5" s="11"/>
    </row>
    <row r="6" spans="1:12" x14ac:dyDescent="0.35">
      <c r="A6" s="98" t="s">
        <v>629</v>
      </c>
      <c r="B6" s="99">
        <v>0.7323792577876147</v>
      </c>
      <c r="C6" s="10"/>
      <c r="D6" s="10"/>
      <c r="E6" s="10"/>
      <c r="F6" s="10"/>
      <c r="G6" s="10"/>
      <c r="H6" s="10"/>
      <c r="I6" s="10"/>
      <c r="J6" s="10"/>
      <c r="K6" s="10"/>
      <c r="L6" s="11"/>
    </row>
    <row r="7" spans="1:12" x14ac:dyDescent="0.35">
      <c r="A7" s="98" t="s">
        <v>610</v>
      </c>
      <c r="B7" s="99">
        <v>96.179194525417088</v>
      </c>
      <c r="C7" s="10"/>
      <c r="D7" s="10"/>
      <c r="E7" s="10"/>
      <c r="F7" s="10"/>
      <c r="G7" s="10"/>
      <c r="H7" s="10"/>
      <c r="I7" s="10"/>
      <c r="J7" s="10"/>
      <c r="K7" s="10"/>
      <c r="L7" s="11"/>
    </row>
    <row r="8" spans="1:12" ht="15" thickBot="1" x14ac:dyDescent="0.4">
      <c r="A8" s="100" t="s">
        <v>630</v>
      </c>
      <c r="B8" s="101">
        <v>256</v>
      </c>
      <c r="C8" s="10"/>
      <c r="D8" s="10"/>
      <c r="E8" s="10"/>
      <c r="F8" s="10"/>
      <c r="G8" s="10"/>
      <c r="H8" s="10"/>
      <c r="I8" s="10"/>
      <c r="J8" s="10"/>
      <c r="K8" s="10"/>
      <c r="L8" s="11"/>
    </row>
    <row r="9" spans="1:12" x14ac:dyDescent="0.35">
      <c r="A9" s="30"/>
      <c r="B9" s="10"/>
      <c r="C9" s="10"/>
      <c r="D9" s="10"/>
      <c r="E9" s="10"/>
      <c r="F9" s="10"/>
      <c r="G9" s="10"/>
      <c r="H9" s="10"/>
      <c r="I9" s="10"/>
      <c r="J9" s="10"/>
      <c r="K9" s="10"/>
      <c r="L9" s="11"/>
    </row>
    <row r="10" spans="1:12" ht="15" thickBot="1" x14ac:dyDescent="0.4">
      <c r="A10" s="30" t="s">
        <v>631</v>
      </c>
      <c r="B10" s="10"/>
      <c r="C10" s="10"/>
      <c r="D10" s="10"/>
      <c r="E10" s="10"/>
      <c r="F10" s="10"/>
      <c r="G10" s="10"/>
      <c r="H10" s="10"/>
      <c r="I10" s="10"/>
      <c r="J10" s="10"/>
      <c r="K10" s="10"/>
      <c r="L10" s="11"/>
    </row>
    <row r="11" spans="1:12" x14ac:dyDescent="0.35">
      <c r="A11" s="124"/>
      <c r="B11" s="125" t="s">
        <v>636</v>
      </c>
      <c r="C11" s="125" t="s">
        <v>637</v>
      </c>
      <c r="D11" s="125" t="s">
        <v>638</v>
      </c>
      <c r="E11" s="125" t="s">
        <v>639</v>
      </c>
      <c r="F11" s="126" t="s">
        <v>640</v>
      </c>
      <c r="G11" s="10"/>
      <c r="H11" s="10"/>
      <c r="I11" s="10"/>
      <c r="J11" s="10"/>
      <c r="K11" s="10"/>
      <c r="L11" s="11"/>
    </row>
    <row r="12" spans="1:12" x14ac:dyDescent="0.35">
      <c r="A12" s="98" t="s">
        <v>632</v>
      </c>
      <c r="B12" s="63">
        <v>1</v>
      </c>
      <c r="C12" s="63">
        <v>6464584.424403118</v>
      </c>
      <c r="D12" s="63">
        <v>6464584.424403118</v>
      </c>
      <c r="E12" s="63">
        <v>698.84094159499261</v>
      </c>
      <c r="F12" s="99">
        <v>6.9838086764229888E-75</v>
      </c>
      <c r="G12" s="10"/>
      <c r="H12" s="10"/>
      <c r="I12" s="10"/>
      <c r="J12" s="10"/>
      <c r="K12" s="10"/>
      <c r="L12" s="11"/>
    </row>
    <row r="13" spans="1:12" x14ac:dyDescent="0.35">
      <c r="A13" s="98" t="s">
        <v>633</v>
      </c>
      <c r="B13" s="63">
        <v>254</v>
      </c>
      <c r="C13" s="63">
        <v>2349611.1147277369</v>
      </c>
      <c r="D13" s="63">
        <v>9250.4374595580193</v>
      </c>
      <c r="E13" s="63"/>
      <c r="F13" s="99"/>
      <c r="G13" s="10"/>
      <c r="H13" s="10"/>
      <c r="I13" s="10"/>
      <c r="J13" s="10"/>
      <c r="K13" s="10"/>
      <c r="L13" s="11"/>
    </row>
    <row r="14" spans="1:12" ht="15" thickBot="1" x14ac:dyDescent="0.4">
      <c r="A14" s="100" t="s">
        <v>634</v>
      </c>
      <c r="B14" s="64">
        <v>255</v>
      </c>
      <c r="C14" s="64">
        <v>8814195.5391308554</v>
      </c>
      <c r="D14" s="64"/>
      <c r="E14" s="64"/>
      <c r="F14" s="101"/>
      <c r="G14" s="10"/>
      <c r="H14" s="10"/>
      <c r="I14" s="10"/>
      <c r="J14" s="10"/>
      <c r="K14" s="10"/>
      <c r="L14" s="11"/>
    </row>
    <row r="15" spans="1:12" ht="15" thickBot="1" x14ac:dyDescent="0.4">
      <c r="A15" s="30"/>
      <c r="B15" s="10"/>
      <c r="C15" s="10"/>
      <c r="D15" s="10"/>
      <c r="E15" s="10"/>
      <c r="F15" s="10"/>
      <c r="G15" s="10"/>
      <c r="H15" s="10"/>
      <c r="I15" s="10"/>
      <c r="J15" s="10"/>
      <c r="K15" s="10"/>
      <c r="L15" s="11"/>
    </row>
    <row r="16" spans="1:12" ht="15" thickBot="1" x14ac:dyDescent="0.4">
      <c r="A16" s="127"/>
      <c r="B16" s="128" t="s">
        <v>641</v>
      </c>
      <c r="C16" s="128" t="s">
        <v>610</v>
      </c>
      <c r="D16" s="128" t="s">
        <v>642</v>
      </c>
      <c r="E16" s="128" t="s">
        <v>643</v>
      </c>
      <c r="F16" s="128" t="s">
        <v>644</v>
      </c>
      <c r="G16" s="128" t="s">
        <v>645</v>
      </c>
      <c r="H16" s="128" t="s">
        <v>646</v>
      </c>
      <c r="I16" s="129" t="s">
        <v>647</v>
      </c>
      <c r="J16" s="10"/>
      <c r="K16" s="10"/>
      <c r="L16" s="11"/>
    </row>
    <row r="17" spans="1:12" x14ac:dyDescent="0.35">
      <c r="A17" s="120" t="s">
        <v>635</v>
      </c>
      <c r="B17" s="62">
        <v>33.257249348501077</v>
      </c>
      <c r="C17" s="62">
        <v>7.2115838949511577</v>
      </c>
      <c r="D17" s="62">
        <v>4.6116428558481495</v>
      </c>
      <c r="E17" s="62">
        <v>6.3364537831861016E-6</v>
      </c>
      <c r="F17" s="62">
        <v>19.055134343894736</v>
      </c>
      <c r="G17" s="62">
        <v>47.459364353107418</v>
      </c>
      <c r="H17" s="62">
        <v>19.055134343894736</v>
      </c>
      <c r="I17" s="121">
        <v>47.459364353107418</v>
      </c>
      <c r="J17" s="10"/>
      <c r="K17" s="10"/>
      <c r="L17" s="11"/>
    </row>
    <row r="18" spans="1:12" ht="15" thickBot="1" x14ac:dyDescent="0.4">
      <c r="A18" s="100">
        <v>233.65</v>
      </c>
      <c r="B18" s="64">
        <v>0.14062782929798745</v>
      </c>
      <c r="C18" s="64">
        <v>5.3196382861759837E-3</v>
      </c>
      <c r="D18" s="64">
        <v>26.43559989096131</v>
      </c>
      <c r="E18" s="64">
        <v>6.9838086764219942E-75</v>
      </c>
      <c r="F18" s="64">
        <v>0.13015161272425099</v>
      </c>
      <c r="G18" s="64">
        <v>0.15110404587172391</v>
      </c>
      <c r="H18" s="64">
        <v>0.13015161272425099</v>
      </c>
      <c r="I18" s="101">
        <v>0.15110404587172391</v>
      </c>
      <c r="J18" s="10"/>
      <c r="K18" s="10"/>
      <c r="L18" s="11"/>
    </row>
    <row r="19" spans="1:12" x14ac:dyDescent="0.35">
      <c r="A19" s="30"/>
      <c r="B19" s="10"/>
      <c r="C19" s="10"/>
      <c r="D19" s="10"/>
      <c r="E19" s="10"/>
      <c r="F19" s="10"/>
      <c r="G19" s="10"/>
      <c r="H19" s="10"/>
      <c r="I19" s="10"/>
      <c r="J19" s="10"/>
      <c r="K19" s="10"/>
      <c r="L19" s="11"/>
    </row>
    <row r="20" spans="1:12" ht="15" thickBot="1" x14ac:dyDescent="0.4">
      <c r="A20" s="34"/>
      <c r="B20" s="13"/>
      <c r="C20" s="13"/>
      <c r="D20" s="13"/>
      <c r="E20" s="13"/>
      <c r="F20" s="13"/>
      <c r="G20" s="13"/>
      <c r="H20" s="13"/>
      <c r="I20" s="13"/>
      <c r="J20" s="13"/>
      <c r="K20" s="13"/>
      <c r="L20" s="8"/>
    </row>
  </sheetData>
  <mergeCells count="1">
    <mergeCell ref="A1: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E5:F19"/>
  <sheetViews>
    <sheetView workbookViewId="0">
      <selection activeCell="H9" sqref="H9"/>
    </sheetView>
  </sheetViews>
  <sheetFormatPr defaultRowHeight="14.5" x14ac:dyDescent="0.35"/>
  <cols>
    <col min="5" max="5" width="16.6328125" customWidth="1"/>
  </cols>
  <sheetData>
    <row r="5" spans="5:6" x14ac:dyDescent="0.35">
      <c r="E5" s="102" t="s">
        <v>624</v>
      </c>
      <c r="F5" s="102"/>
    </row>
    <row r="6" spans="5:6" x14ac:dyDescent="0.35">
      <c r="E6" s="103"/>
      <c r="F6" s="103"/>
    </row>
    <row r="7" spans="5:6" x14ac:dyDescent="0.35">
      <c r="E7" s="103" t="s">
        <v>609</v>
      </c>
      <c r="F7" s="103">
        <v>746.92202334630315</v>
      </c>
    </row>
    <row r="8" spans="5:6" x14ac:dyDescent="0.35">
      <c r="E8" s="103" t="s">
        <v>610</v>
      </c>
      <c r="F8" s="103">
        <v>70.516070984057492</v>
      </c>
    </row>
    <row r="9" spans="5:6" x14ac:dyDescent="0.35">
      <c r="E9" s="103" t="s">
        <v>611</v>
      </c>
      <c r="F9" s="103">
        <v>318.06</v>
      </c>
    </row>
    <row r="10" spans="5:6" x14ac:dyDescent="0.35">
      <c r="E10" s="103" t="s">
        <v>612</v>
      </c>
      <c r="F10" s="103">
        <v>27.3</v>
      </c>
    </row>
    <row r="11" spans="5:6" x14ac:dyDescent="0.35">
      <c r="E11" s="103" t="s">
        <v>613</v>
      </c>
      <c r="F11" s="103">
        <v>1130.4586151763183</v>
      </c>
    </row>
    <row r="12" spans="5:6" x14ac:dyDescent="0.35">
      <c r="E12" s="103" t="s">
        <v>614</v>
      </c>
      <c r="F12" s="103">
        <v>1277936.6806263595</v>
      </c>
    </row>
    <row r="13" spans="5:6" x14ac:dyDescent="0.35">
      <c r="E13" s="103" t="s">
        <v>615</v>
      </c>
      <c r="F13" s="103">
        <v>9.4829860623466828</v>
      </c>
    </row>
    <row r="14" spans="5:6" x14ac:dyDescent="0.35">
      <c r="E14" s="103" t="s">
        <v>616</v>
      </c>
      <c r="F14" s="103">
        <v>2.8266106301027687</v>
      </c>
    </row>
    <row r="15" spans="5:6" x14ac:dyDescent="0.35">
      <c r="E15" s="103" t="s">
        <v>617</v>
      </c>
      <c r="F15" s="103">
        <v>6582.62</v>
      </c>
    </row>
    <row r="16" spans="5:6" x14ac:dyDescent="0.35">
      <c r="E16" s="103" t="s">
        <v>618</v>
      </c>
      <c r="F16" s="103">
        <v>2.82</v>
      </c>
    </row>
    <row r="17" spans="5:6" x14ac:dyDescent="0.35">
      <c r="E17" s="103" t="s">
        <v>619</v>
      </c>
      <c r="F17" s="103">
        <v>6585.44</v>
      </c>
    </row>
    <row r="18" spans="5:6" x14ac:dyDescent="0.35">
      <c r="E18" s="103" t="s">
        <v>620</v>
      </c>
      <c r="F18" s="103">
        <v>191958.9599999999</v>
      </c>
    </row>
    <row r="19" spans="5:6" x14ac:dyDescent="0.35">
      <c r="E19" s="103" t="s">
        <v>621</v>
      </c>
      <c r="F19" s="103">
        <v>257</v>
      </c>
    </row>
  </sheetData>
  <mergeCells count="1">
    <mergeCell ref="E5:F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L29"/>
  <sheetViews>
    <sheetView workbookViewId="0">
      <selection activeCell="F5" sqref="F5"/>
    </sheetView>
  </sheetViews>
  <sheetFormatPr defaultRowHeight="14.5" x14ac:dyDescent="0.35"/>
  <cols>
    <col min="3" max="3" width="17.1796875" customWidth="1"/>
    <col min="4" max="4" width="20.54296875" customWidth="1"/>
    <col min="5" max="5" width="8.7265625" customWidth="1"/>
    <col min="6" max="6" width="17.1796875" customWidth="1"/>
    <col min="7" max="7" width="26.08984375" customWidth="1"/>
    <col min="8" max="8" width="10.7265625" customWidth="1"/>
    <col min="9" max="9" width="15.1796875" bestFit="1" customWidth="1"/>
  </cols>
  <sheetData>
    <row r="1" spans="1:12" x14ac:dyDescent="0.35">
      <c r="A1" s="140" t="s">
        <v>673</v>
      </c>
      <c r="B1" s="141"/>
      <c r="C1" s="141"/>
      <c r="D1" s="141"/>
      <c r="E1" s="141"/>
      <c r="F1" s="141"/>
      <c r="G1" s="141"/>
      <c r="H1" s="141"/>
      <c r="I1" s="141"/>
      <c r="J1" s="141"/>
      <c r="K1" s="141"/>
      <c r="L1" s="142"/>
    </row>
    <row r="2" spans="1:12" ht="15" thickBot="1" x14ac:dyDescent="0.4">
      <c r="A2" s="143"/>
      <c r="B2" s="144"/>
      <c r="C2" s="144"/>
      <c r="D2" s="144"/>
      <c r="E2" s="144"/>
      <c r="F2" s="144"/>
      <c r="G2" s="144"/>
      <c r="H2" s="144"/>
      <c r="I2" s="144"/>
      <c r="J2" s="144"/>
      <c r="K2" s="144"/>
      <c r="L2" s="145"/>
    </row>
    <row r="3" spans="1:12" x14ac:dyDescent="0.35">
      <c r="A3" s="26"/>
      <c r="B3" s="28"/>
      <c r="C3" s="28"/>
      <c r="D3" s="28"/>
      <c r="E3" s="28"/>
      <c r="F3" s="28"/>
      <c r="G3" s="28"/>
      <c r="H3" s="28"/>
      <c r="I3" s="28"/>
      <c r="J3" s="10"/>
      <c r="K3" s="10"/>
      <c r="L3" s="11"/>
    </row>
    <row r="4" spans="1:12" x14ac:dyDescent="0.35">
      <c r="A4" s="26"/>
      <c r="B4" s="28"/>
      <c r="C4" s="131" t="s">
        <v>38</v>
      </c>
      <c r="D4" s="28"/>
      <c r="E4" s="28"/>
      <c r="F4" s="28"/>
      <c r="G4" s="132" t="s">
        <v>651</v>
      </c>
      <c r="H4" s="132"/>
      <c r="I4" s="132"/>
      <c r="J4" s="10"/>
      <c r="K4" s="10"/>
      <c r="L4" s="11"/>
    </row>
    <row r="5" spans="1:12" x14ac:dyDescent="0.35">
      <c r="A5" s="26"/>
      <c r="B5" s="28"/>
      <c r="C5" s="132" t="s">
        <v>659</v>
      </c>
      <c r="D5" s="132"/>
      <c r="E5" s="28"/>
      <c r="F5" s="28"/>
      <c r="G5" s="133" t="s">
        <v>648</v>
      </c>
      <c r="H5" s="134">
        <f ca="1">TODAY()</f>
        <v>46160</v>
      </c>
      <c r="I5" s="134"/>
      <c r="J5" s="10"/>
      <c r="K5" s="10"/>
      <c r="L5" s="11"/>
    </row>
    <row r="6" spans="1:12" x14ac:dyDescent="0.35">
      <c r="A6" s="26"/>
      <c r="B6" s="28"/>
      <c r="C6" s="130" t="s">
        <v>600</v>
      </c>
      <c r="D6" s="130" t="str">
        <f>IF(Dataset!K2&gt;1000,"High","Low")</f>
        <v>Low</v>
      </c>
      <c r="E6" s="28"/>
      <c r="F6" s="28"/>
      <c r="G6" s="133" t="s">
        <v>649</v>
      </c>
      <c r="H6" s="135">
        <f ca="1">EOMONTH(TODAY(),0)</f>
        <v>46173</v>
      </c>
      <c r="I6" s="135"/>
      <c r="J6" s="10"/>
      <c r="K6" s="10"/>
      <c r="L6" s="11"/>
    </row>
    <row r="7" spans="1:12" x14ac:dyDescent="0.35">
      <c r="A7" s="26"/>
      <c r="B7" s="28"/>
      <c r="C7" s="130" t="s">
        <v>601</v>
      </c>
      <c r="D7" s="130" t="str">
        <f>IF(Dataset!K2&gt;3000,"Excellent",IF(Dataset!K2&gt;1000,"Good","Low"))</f>
        <v>Low</v>
      </c>
      <c r="E7" s="28"/>
      <c r="F7" s="28"/>
      <c r="G7" s="133" t="s">
        <v>650</v>
      </c>
      <c r="H7" s="136">
        <f ca="1">NOW()</f>
        <v>46160.662984490744</v>
      </c>
      <c r="I7" s="136"/>
      <c r="J7" s="10"/>
      <c r="K7" s="10"/>
      <c r="L7" s="11"/>
    </row>
    <row r="8" spans="1:12" x14ac:dyDescent="0.35">
      <c r="A8" s="26"/>
      <c r="B8" s="28"/>
      <c r="C8" s="130" t="s">
        <v>656</v>
      </c>
      <c r="D8" s="130" t="str">
        <f>IF(AND(Dataset!I2&gt;5,Dataset!K2&gt;1000),"Top","Normal")</f>
        <v>Normal</v>
      </c>
      <c r="E8" s="28"/>
      <c r="F8" s="28"/>
      <c r="G8" s="28"/>
      <c r="H8" s="28"/>
      <c r="I8" s="28"/>
      <c r="J8" s="10"/>
      <c r="K8" s="10"/>
      <c r="L8" s="11"/>
    </row>
    <row r="9" spans="1:12" x14ac:dyDescent="0.35">
      <c r="A9" s="26"/>
      <c r="B9" s="28"/>
      <c r="C9" s="130" t="s">
        <v>657</v>
      </c>
      <c r="D9" s="130" t="str">
        <f>IF(OR(Dataset!D2="Electronics",Dataset!D2="Furniture"),"Priority","Normal")</f>
        <v>Normal</v>
      </c>
      <c r="E9" s="28"/>
      <c r="F9" s="28"/>
      <c r="G9" s="28"/>
      <c r="H9" s="28"/>
      <c r="I9" s="28"/>
      <c r="J9" s="10"/>
      <c r="K9" s="10"/>
      <c r="L9" s="11"/>
    </row>
    <row r="10" spans="1:12" x14ac:dyDescent="0.35">
      <c r="A10" s="26"/>
      <c r="B10" s="28"/>
      <c r="C10" s="130" t="s">
        <v>658</v>
      </c>
      <c r="D10" s="130" t="e">
        <f ca="1">IFS(Dataset!K2&gt;3000,"Excellent",Dataset!K2&gt;1000,"Good",TRUE,"Low")</f>
        <v>#NAME?</v>
      </c>
      <c r="E10" s="137"/>
      <c r="F10" s="28"/>
      <c r="G10" s="132" t="s">
        <v>652</v>
      </c>
      <c r="H10" s="132"/>
      <c r="I10" s="132"/>
      <c r="J10" s="10"/>
      <c r="K10" s="10"/>
      <c r="L10" s="11"/>
    </row>
    <row r="11" spans="1:12" x14ac:dyDescent="0.35">
      <c r="A11" s="26"/>
      <c r="B11" s="28"/>
      <c r="C11" s="28"/>
      <c r="D11" s="28"/>
      <c r="E11" s="28"/>
      <c r="F11" s="28"/>
      <c r="G11" s="130" t="s">
        <v>603</v>
      </c>
      <c r="H11" s="130">
        <f>VLOOKUP(I11,Dataset!$C$2:$K$201,9,FALSE)</f>
        <v>69.16</v>
      </c>
      <c r="I11" s="138" t="s">
        <v>38</v>
      </c>
      <c r="J11" s="10"/>
      <c r="K11" s="10"/>
      <c r="L11" s="11"/>
    </row>
    <row r="12" spans="1:12" x14ac:dyDescent="0.35">
      <c r="A12" s="26"/>
      <c r="B12" s="28"/>
      <c r="C12" s="132" t="s">
        <v>660</v>
      </c>
      <c r="D12" s="132"/>
      <c r="E12" s="28"/>
      <c r="F12" s="28"/>
      <c r="G12" s="130" t="s">
        <v>604</v>
      </c>
      <c r="H12" s="130">
        <f>HLOOKUP("Revenue",Dataset!A1:M20,2,FALSE)</f>
        <v>233.65</v>
      </c>
      <c r="I12" s="138" t="s">
        <v>38</v>
      </c>
      <c r="J12" s="10"/>
      <c r="K12" s="10"/>
      <c r="L12" s="11"/>
    </row>
    <row r="13" spans="1:12" ht="16.5" customHeight="1" x14ac:dyDescent="0.35">
      <c r="A13" s="26"/>
      <c r="B13" s="28"/>
      <c r="C13" s="130" t="s">
        <v>602</v>
      </c>
      <c r="D13" s="130">
        <f>COUNTIF(Dataset!D:D,"Electronics")</f>
        <v>117</v>
      </c>
      <c r="E13" s="28"/>
      <c r="F13" s="28"/>
      <c r="G13" s="139" t="s">
        <v>653</v>
      </c>
      <c r="H13" s="130">
        <f>INDEX(Dataset!K:K,MATCH(C4,Dataset!C:C,0))</f>
        <v>69.16</v>
      </c>
      <c r="I13" s="130"/>
      <c r="J13" s="10"/>
      <c r="K13" s="10"/>
      <c r="L13" s="11"/>
    </row>
    <row r="14" spans="1:12" x14ac:dyDescent="0.35">
      <c r="A14" s="26"/>
      <c r="B14" s="28"/>
      <c r="C14" s="130" t="s">
        <v>602</v>
      </c>
      <c r="D14" s="130">
        <f>COUNTIFS(Dataset!E:E,"South",Dataset!D:D,"Electronics")</f>
        <v>35</v>
      </c>
      <c r="E14" s="28"/>
      <c r="F14" s="28"/>
      <c r="G14" s="130" t="s">
        <v>654</v>
      </c>
      <c r="H14" s="130" t="e">
        <f ca="1">XLOOKUP(C4,Dataset!C:C,Dataset!K:K)</f>
        <v>#NAME?</v>
      </c>
      <c r="I14" s="130"/>
      <c r="J14" s="10"/>
      <c r="K14" s="10"/>
      <c r="L14" s="11"/>
    </row>
    <row r="15" spans="1:12" x14ac:dyDescent="0.35">
      <c r="A15" s="26"/>
      <c r="B15" s="28"/>
      <c r="C15" s="130" t="s">
        <v>661</v>
      </c>
      <c r="D15" s="130">
        <f>COUNTA(Dataset!A:A)</f>
        <v>258</v>
      </c>
      <c r="E15" s="28"/>
      <c r="F15" s="28"/>
      <c r="G15" s="130" t="s">
        <v>655</v>
      </c>
      <c r="H15" s="130" t="e">
        <f ca="1">XMATCH(C4,Dataset!C:C)</f>
        <v>#NAME?</v>
      </c>
      <c r="I15" s="130"/>
      <c r="J15" s="10"/>
      <c r="K15" s="10"/>
      <c r="L15" s="11"/>
    </row>
    <row r="16" spans="1:12" x14ac:dyDescent="0.35">
      <c r="A16" s="26"/>
      <c r="B16" s="28"/>
      <c r="C16" s="28"/>
      <c r="D16" s="28"/>
      <c r="E16" s="28"/>
      <c r="F16" s="28"/>
      <c r="G16" s="28"/>
      <c r="H16" s="28"/>
      <c r="I16" s="28"/>
      <c r="J16" s="10"/>
      <c r="K16" s="10"/>
      <c r="L16" s="11"/>
    </row>
    <row r="17" spans="1:12" x14ac:dyDescent="0.35">
      <c r="A17" s="26"/>
      <c r="B17" s="28"/>
      <c r="C17" s="28"/>
      <c r="D17" s="28"/>
      <c r="E17" s="28"/>
      <c r="F17" s="28"/>
      <c r="G17" s="28"/>
      <c r="H17" s="28"/>
      <c r="I17" s="28"/>
      <c r="J17" s="10"/>
      <c r="K17" s="10"/>
      <c r="L17" s="11"/>
    </row>
    <row r="18" spans="1:12" x14ac:dyDescent="0.35">
      <c r="A18" s="26"/>
      <c r="B18" s="28"/>
      <c r="C18" s="132" t="s">
        <v>662</v>
      </c>
      <c r="D18" s="132"/>
      <c r="E18" s="28"/>
      <c r="F18" s="28"/>
      <c r="G18" s="132" t="s">
        <v>672</v>
      </c>
      <c r="H18" s="132"/>
      <c r="I18" s="28"/>
      <c r="J18" s="10"/>
      <c r="K18" s="10"/>
      <c r="L18" s="11"/>
    </row>
    <row r="19" spans="1:12" x14ac:dyDescent="0.35">
      <c r="A19" s="26"/>
      <c r="B19" s="28"/>
      <c r="C19" s="130" t="s">
        <v>662</v>
      </c>
      <c r="D19" s="130" t="str">
        <f>TEXT(Dataset!B2,"mmmm")</f>
        <v>March</v>
      </c>
      <c r="E19" s="28"/>
      <c r="F19" s="28"/>
      <c r="G19" s="130" t="s">
        <v>620</v>
      </c>
      <c r="H19" s="130">
        <f>SUM(Dataset!K:K)</f>
        <v>191958.9599999999</v>
      </c>
      <c r="I19" s="28"/>
      <c r="J19" s="10"/>
      <c r="K19" s="10"/>
      <c r="L19" s="11"/>
    </row>
    <row r="20" spans="1:12" x14ac:dyDescent="0.35">
      <c r="A20" s="26"/>
      <c r="B20" s="28"/>
      <c r="C20" s="130" t="s">
        <v>663</v>
      </c>
      <c r="D20" s="130" t="str">
        <f>LEFT(Dataset!A2,3)</f>
        <v>ORD</v>
      </c>
      <c r="E20" s="28"/>
      <c r="F20" s="28"/>
      <c r="G20" s="130" t="s">
        <v>669</v>
      </c>
      <c r="H20" s="130">
        <f>AVERAGE(Dataset!K:K)</f>
        <v>746.92202334630315</v>
      </c>
      <c r="I20" s="28"/>
      <c r="J20" s="10"/>
      <c r="K20" s="10"/>
      <c r="L20" s="11"/>
    </row>
    <row r="21" spans="1:12" x14ac:dyDescent="0.35">
      <c r="A21" s="26"/>
      <c r="B21" s="28"/>
      <c r="C21" s="130" t="s">
        <v>664</v>
      </c>
      <c r="D21" s="130" t="str">
        <f>RIGHT(Dataset!A2,4)</f>
        <v>0500</v>
      </c>
      <c r="E21" s="28"/>
      <c r="F21" s="28"/>
      <c r="G21" s="130" t="s">
        <v>670</v>
      </c>
      <c r="H21" s="130">
        <f>MAX(Dataset!K:K)</f>
        <v>6585.44</v>
      </c>
      <c r="I21" s="28"/>
      <c r="J21" s="10"/>
      <c r="K21" s="10"/>
      <c r="L21" s="11"/>
    </row>
    <row r="22" spans="1:12" x14ac:dyDescent="0.35">
      <c r="A22" s="26"/>
      <c r="B22" s="28"/>
      <c r="C22" s="130" t="s">
        <v>665</v>
      </c>
      <c r="D22" s="130" t="str">
        <f>MID(Dataset!A2,4,4)</f>
        <v>0500</v>
      </c>
      <c r="E22" s="28"/>
      <c r="F22" s="28"/>
      <c r="G22" s="130" t="s">
        <v>671</v>
      </c>
      <c r="H22" s="130">
        <f>MIN(Dataset!K:K)</f>
        <v>2.82</v>
      </c>
      <c r="I22" s="28"/>
      <c r="J22" s="10"/>
      <c r="K22" s="10"/>
      <c r="L22" s="11"/>
    </row>
    <row r="23" spans="1:12" x14ac:dyDescent="0.35">
      <c r="A23" s="26"/>
      <c r="B23" s="28"/>
      <c r="C23" s="130" t="s">
        <v>666</v>
      </c>
      <c r="D23" s="130">
        <f>LEN(Dataset!C2)</f>
        <v>8</v>
      </c>
      <c r="E23" s="28"/>
      <c r="F23" s="28"/>
      <c r="G23" s="28"/>
      <c r="H23" s="28"/>
      <c r="I23" s="28"/>
      <c r="J23" s="10"/>
      <c r="K23" s="10"/>
      <c r="L23" s="11"/>
    </row>
    <row r="24" spans="1:12" x14ac:dyDescent="0.35">
      <c r="A24" s="26"/>
      <c r="B24" s="28"/>
      <c r="C24" s="130" t="s">
        <v>667</v>
      </c>
      <c r="D24" s="130" t="str">
        <f>UPPER(Dataset!C2)</f>
        <v>BACKPACK</v>
      </c>
      <c r="E24" s="28"/>
      <c r="F24" s="28"/>
      <c r="G24" s="28"/>
      <c r="H24" s="28"/>
      <c r="I24" s="28"/>
      <c r="J24" s="10"/>
      <c r="K24" s="10"/>
      <c r="L24" s="11"/>
    </row>
    <row r="25" spans="1:12" x14ac:dyDescent="0.35">
      <c r="A25" s="26"/>
      <c r="B25" s="28"/>
      <c r="C25" s="130" t="s">
        <v>668</v>
      </c>
      <c r="D25" s="130" t="str">
        <f>LOWER(Dataset!C2)</f>
        <v>backpack</v>
      </c>
      <c r="E25" s="28"/>
      <c r="F25" s="28"/>
      <c r="G25" s="28"/>
      <c r="H25" s="28"/>
      <c r="I25" s="28"/>
      <c r="J25" s="10"/>
      <c r="K25" s="10"/>
      <c r="L25" s="11"/>
    </row>
    <row r="26" spans="1:12" ht="15" thickBot="1" x14ac:dyDescent="0.4">
      <c r="A26" s="52"/>
      <c r="B26" s="146"/>
      <c r="C26" s="146"/>
      <c r="D26" s="146"/>
      <c r="E26" s="146"/>
      <c r="F26" s="146"/>
      <c r="G26" s="146"/>
      <c r="H26" s="146"/>
      <c r="I26" s="146"/>
      <c r="J26" s="13"/>
      <c r="K26" s="13"/>
      <c r="L26" s="8"/>
    </row>
    <row r="27" spans="1:12" x14ac:dyDescent="0.35">
      <c r="A27" s="51"/>
      <c r="B27" s="51"/>
      <c r="C27" s="51"/>
      <c r="D27" s="51"/>
      <c r="E27" s="51"/>
      <c r="F27" s="51"/>
      <c r="G27" s="51"/>
      <c r="H27" s="51"/>
      <c r="I27" s="51"/>
    </row>
    <row r="28" spans="1:12" x14ac:dyDescent="0.35">
      <c r="A28" s="51"/>
      <c r="B28" s="51"/>
      <c r="C28" s="51"/>
      <c r="D28" s="51"/>
      <c r="E28" s="51"/>
      <c r="F28" s="51"/>
      <c r="G28" s="51"/>
      <c r="H28" s="51"/>
      <c r="I28" s="51"/>
    </row>
    <row r="29" spans="1:12" x14ac:dyDescent="0.35">
      <c r="A29" s="51"/>
      <c r="B29" s="51"/>
      <c r="C29" s="51"/>
      <c r="D29" s="51"/>
      <c r="E29" s="51"/>
      <c r="F29" s="51"/>
      <c r="G29" s="51"/>
      <c r="H29" s="51"/>
      <c r="I29" s="51"/>
    </row>
  </sheetData>
  <mergeCells count="10">
    <mergeCell ref="C12:D12"/>
    <mergeCell ref="C18:D18"/>
    <mergeCell ref="G18:H18"/>
    <mergeCell ref="A1:L2"/>
    <mergeCell ref="G4:I4"/>
    <mergeCell ref="G10:I10"/>
    <mergeCell ref="H5:I5"/>
    <mergeCell ref="H6:I6"/>
    <mergeCell ref="H7:I7"/>
    <mergeCell ref="C5:D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V57"/>
  <sheetViews>
    <sheetView showGridLines="0" tabSelected="1" zoomScale="70" zoomScaleNormal="70" workbookViewId="0">
      <selection activeCell="T28" sqref="T28"/>
    </sheetView>
  </sheetViews>
  <sheetFormatPr defaultRowHeight="14.5" x14ac:dyDescent="0.35"/>
  <sheetData>
    <row r="1" spans="1:22" ht="14.5" customHeight="1" x14ac:dyDescent="0.35">
      <c r="A1" s="66" t="s">
        <v>623</v>
      </c>
      <c r="B1" s="67"/>
      <c r="C1" s="67"/>
      <c r="D1" s="67"/>
      <c r="E1" s="67"/>
      <c r="F1" s="67"/>
      <c r="G1" s="67"/>
      <c r="H1" s="67"/>
      <c r="I1" s="67"/>
      <c r="J1" s="67"/>
      <c r="K1" s="67"/>
      <c r="L1" s="67"/>
      <c r="M1" s="67"/>
      <c r="N1" s="67"/>
      <c r="O1" s="67"/>
      <c r="P1" s="67"/>
      <c r="Q1" s="67"/>
      <c r="R1" s="67"/>
      <c r="S1" s="67"/>
      <c r="T1" s="67"/>
      <c r="U1" s="67"/>
      <c r="V1" s="68"/>
    </row>
    <row r="2" spans="1:22" ht="15" thickBot="1" x14ac:dyDescent="0.4">
      <c r="A2" s="95"/>
      <c r="B2" s="96"/>
      <c r="C2" s="96"/>
      <c r="D2" s="96"/>
      <c r="E2" s="96"/>
      <c r="F2" s="96"/>
      <c r="G2" s="96"/>
      <c r="H2" s="96"/>
      <c r="I2" s="96"/>
      <c r="J2" s="96"/>
      <c r="K2" s="96"/>
      <c r="L2" s="96"/>
      <c r="M2" s="96"/>
      <c r="N2" s="96"/>
      <c r="O2" s="96"/>
      <c r="P2" s="96"/>
      <c r="Q2" s="96"/>
      <c r="R2" s="96"/>
      <c r="S2" s="96"/>
      <c r="T2" s="96"/>
      <c r="U2" s="96"/>
      <c r="V2" s="97"/>
    </row>
    <row r="3" spans="1:22" ht="15" thickBot="1" x14ac:dyDescent="0.4">
      <c r="A3" s="30"/>
      <c r="B3" s="10"/>
      <c r="C3" s="10"/>
      <c r="D3" s="10"/>
      <c r="E3" s="10"/>
      <c r="F3" s="10"/>
      <c r="G3" s="10"/>
      <c r="H3" s="10"/>
      <c r="I3" s="10"/>
      <c r="J3" s="10"/>
      <c r="K3" s="10"/>
      <c r="L3" s="10"/>
      <c r="M3" s="10"/>
      <c r="N3" s="10"/>
      <c r="O3" s="10"/>
      <c r="P3" s="10"/>
      <c r="Q3" s="10"/>
      <c r="R3" s="10"/>
      <c r="S3" s="10"/>
      <c r="T3" s="10"/>
      <c r="U3" s="10"/>
      <c r="V3" s="11"/>
    </row>
    <row r="4" spans="1:22" x14ac:dyDescent="0.35">
      <c r="A4" s="30"/>
      <c r="B4" s="69" t="s">
        <v>605</v>
      </c>
      <c r="C4" s="70"/>
      <c r="D4" s="10"/>
      <c r="E4" s="75" t="s">
        <v>606</v>
      </c>
      <c r="F4" s="76"/>
      <c r="G4" s="10"/>
      <c r="H4" s="85" t="s">
        <v>607</v>
      </c>
      <c r="I4" s="86"/>
      <c r="J4" s="10"/>
      <c r="K4" s="89" t="s">
        <v>608</v>
      </c>
      <c r="L4" s="90"/>
      <c r="M4" s="10"/>
      <c r="N4" s="10"/>
      <c r="O4" s="10"/>
      <c r="P4" s="10"/>
      <c r="Q4" s="10"/>
      <c r="R4" s="10"/>
      <c r="S4" s="10"/>
      <c r="T4" s="10"/>
      <c r="U4" s="10"/>
      <c r="V4" s="11"/>
    </row>
    <row r="5" spans="1:22" x14ac:dyDescent="0.35">
      <c r="A5" s="30"/>
      <c r="B5" s="71"/>
      <c r="C5" s="72"/>
      <c r="D5" s="10"/>
      <c r="E5" s="77"/>
      <c r="F5" s="78"/>
      <c r="G5" s="10"/>
      <c r="H5" s="87"/>
      <c r="I5" s="88"/>
      <c r="J5" s="10"/>
      <c r="K5" s="91"/>
      <c r="L5" s="92"/>
      <c r="M5" s="10"/>
      <c r="N5" s="10"/>
      <c r="O5" s="10"/>
      <c r="P5" s="10"/>
      <c r="Q5" s="10"/>
      <c r="R5" s="10"/>
      <c r="S5" s="10"/>
      <c r="T5" s="10"/>
      <c r="U5" s="10"/>
      <c r="V5" s="11"/>
    </row>
    <row r="6" spans="1:22" x14ac:dyDescent="0.35">
      <c r="A6" s="30"/>
      <c r="B6" s="71">
        <f>SUM(Dataset!K2:K260)</f>
        <v>191958.9599999999</v>
      </c>
      <c r="C6" s="72"/>
      <c r="D6" s="10"/>
      <c r="E6" s="77">
        <f>COUNTA(Dataset!A2:A258)-1</f>
        <v>256</v>
      </c>
      <c r="F6" s="78"/>
      <c r="G6" s="10"/>
      <c r="H6" s="81">
        <f>SUM(Dataset!I2:I258)</f>
        <v>1381</v>
      </c>
      <c r="I6" s="82"/>
      <c r="J6" s="10"/>
      <c r="K6" s="91" t="str">
        <f>INDEX(Dataset!G2:G258,MATCH(MAX(Dataset!K2:K258),Dataset!K2:K258,0))</f>
        <v>Rahul</v>
      </c>
      <c r="L6" s="92"/>
      <c r="M6" s="10"/>
      <c r="N6" s="10"/>
      <c r="O6" s="10"/>
      <c r="P6" s="10"/>
      <c r="Q6" s="10"/>
      <c r="R6" s="10"/>
      <c r="S6" s="10"/>
      <c r="T6" s="10"/>
      <c r="U6" s="10"/>
      <c r="V6" s="11"/>
    </row>
    <row r="7" spans="1:22" ht="15" thickBot="1" x14ac:dyDescent="0.4">
      <c r="A7" s="30"/>
      <c r="B7" s="73"/>
      <c r="C7" s="74"/>
      <c r="D7" s="10"/>
      <c r="E7" s="79"/>
      <c r="F7" s="80"/>
      <c r="G7" s="10"/>
      <c r="H7" s="83"/>
      <c r="I7" s="84"/>
      <c r="J7" s="10"/>
      <c r="K7" s="93"/>
      <c r="L7" s="94"/>
      <c r="M7" s="10"/>
      <c r="N7" s="10"/>
      <c r="O7" s="10"/>
      <c r="P7" s="10"/>
      <c r="Q7" s="10"/>
      <c r="R7" s="10"/>
      <c r="S7" s="10"/>
      <c r="T7" s="10"/>
      <c r="U7" s="10"/>
      <c r="V7" s="11"/>
    </row>
    <row r="8" spans="1:22" x14ac:dyDescent="0.35">
      <c r="A8" s="30"/>
      <c r="B8" s="10"/>
      <c r="C8" s="10"/>
      <c r="D8" s="10"/>
      <c r="E8" s="10"/>
      <c r="F8" s="10"/>
      <c r="G8" s="10"/>
      <c r="H8" s="10"/>
      <c r="I8" s="10"/>
      <c r="J8" s="10"/>
      <c r="K8" s="10"/>
      <c r="L8" s="10"/>
      <c r="M8" s="10"/>
      <c r="N8" s="10"/>
      <c r="O8" s="10"/>
      <c r="P8" s="10"/>
      <c r="Q8" s="10"/>
      <c r="R8" s="10"/>
      <c r="S8" s="10"/>
      <c r="T8" s="10"/>
      <c r="U8" s="10"/>
      <c r="V8" s="11"/>
    </row>
    <row r="9" spans="1:22" x14ac:dyDescent="0.35">
      <c r="A9" s="30"/>
      <c r="B9" s="10"/>
      <c r="C9" s="10"/>
      <c r="D9" s="10"/>
      <c r="E9" s="10"/>
      <c r="F9" s="10"/>
      <c r="G9" s="10"/>
      <c r="H9" s="10"/>
      <c r="I9" s="10"/>
      <c r="J9" s="10"/>
      <c r="K9" s="10"/>
      <c r="L9" s="10"/>
      <c r="M9" s="10"/>
      <c r="N9" s="10"/>
      <c r="O9" s="10"/>
      <c r="P9" s="10"/>
      <c r="Q9" s="10"/>
      <c r="R9" s="10"/>
      <c r="S9" s="10"/>
      <c r="T9" s="10"/>
      <c r="U9" s="10"/>
      <c r="V9" s="11"/>
    </row>
    <row r="10" spans="1:22" x14ac:dyDescent="0.35">
      <c r="A10" s="30"/>
      <c r="B10" s="10"/>
      <c r="C10" s="10"/>
      <c r="D10" s="10"/>
      <c r="E10" s="10"/>
      <c r="F10" s="10"/>
      <c r="G10" s="10"/>
      <c r="H10" s="10"/>
      <c r="I10" s="10"/>
      <c r="J10" s="10"/>
      <c r="K10" s="10"/>
      <c r="L10" s="10"/>
      <c r="M10" s="10"/>
      <c r="N10" s="10"/>
      <c r="O10" s="10"/>
      <c r="P10" s="10"/>
      <c r="Q10" s="10"/>
      <c r="R10" s="10"/>
      <c r="S10" s="10"/>
      <c r="T10" s="10"/>
      <c r="U10" s="10"/>
      <c r="V10" s="11"/>
    </row>
    <row r="11" spans="1:22" x14ac:dyDescent="0.35">
      <c r="A11" s="30"/>
      <c r="B11" s="10"/>
      <c r="C11" s="10"/>
      <c r="D11" s="10"/>
      <c r="E11" s="10"/>
      <c r="F11" s="10"/>
      <c r="G11" s="10"/>
      <c r="H11" s="10"/>
      <c r="I11" s="10"/>
      <c r="J11" s="10"/>
      <c r="K11" s="10"/>
      <c r="L11" s="10"/>
      <c r="M11" s="10"/>
      <c r="N11" s="10"/>
      <c r="O11" s="10"/>
      <c r="P11" s="10"/>
      <c r="Q11" s="10"/>
      <c r="R11" s="10"/>
      <c r="S11" s="10"/>
      <c r="T11" s="10"/>
      <c r="U11" s="10"/>
      <c r="V11" s="11"/>
    </row>
    <row r="12" spans="1:22" x14ac:dyDescent="0.35">
      <c r="A12" s="30"/>
      <c r="B12" s="10"/>
      <c r="C12" s="10"/>
      <c r="D12" s="10"/>
      <c r="E12" s="10"/>
      <c r="F12" s="10"/>
      <c r="G12" s="10"/>
      <c r="H12" s="10"/>
      <c r="I12" s="10"/>
      <c r="J12" s="10"/>
      <c r="K12" s="10"/>
      <c r="L12" s="10"/>
      <c r="M12" s="10"/>
      <c r="N12" s="10"/>
      <c r="O12" s="10"/>
      <c r="P12" s="10"/>
      <c r="Q12" s="10"/>
      <c r="R12" s="10"/>
      <c r="S12" s="10"/>
      <c r="T12" s="10"/>
      <c r="U12" s="10"/>
      <c r="V12" s="11"/>
    </row>
    <row r="13" spans="1:22" x14ac:dyDescent="0.35">
      <c r="A13" s="30"/>
      <c r="B13" s="10"/>
      <c r="C13" s="10"/>
      <c r="D13" s="10"/>
      <c r="E13" s="10"/>
      <c r="F13" s="10"/>
      <c r="G13" s="10"/>
      <c r="H13" s="10"/>
      <c r="I13" s="10"/>
      <c r="J13" s="10"/>
      <c r="K13" s="10"/>
      <c r="L13" s="10"/>
      <c r="M13" s="10"/>
      <c r="N13" s="10"/>
      <c r="O13" s="10"/>
      <c r="P13" s="10"/>
      <c r="Q13" s="10"/>
      <c r="R13" s="10"/>
      <c r="S13" s="10"/>
      <c r="T13" s="10"/>
      <c r="U13" s="10"/>
      <c r="V13" s="11"/>
    </row>
    <row r="14" spans="1:22" x14ac:dyDescent="0.35">
      <c r="A14" s="30"/>
      <c r="B14" s="10"/>
      <c r="C14" s="10"/>
      <c r="D14" s="10"/>
      <c r="E14" s="10"/>
      <c r="F14" s="10"/>
      <c r="G14" s="10"/>
      <c r="H14" s="10"/>
      <c r="I14" s="10"/>
      <c r="J14" s="10"/>
      <c r="K14" s="10"/>
      <c r="L14" s="10"/>
      <c r="M14" s="10"/>
      <c r="N14" s="10"/>
      <c r="O14" s="10"/>
      <c r="P14" s="10"/>
      <c r="Q14" s="10"/>
      <c r="R14" s="10"/>
      <c r="S14" s="10"/>
      <c r="T14" s="10"/>
      <c r="U14" s="10"/>
      <c r="V14" s="11"/>
    </row>
    <row r="15" spans="1:22" x14ac:dyDescent="0.35">
      <c r="A15" s="30"/>
      <c r="B15" s="10"/>
      <c r="C15" s="10"/>
      <c r="D15" s="10"/>
      <c r="E15" s="10"/>
      <c r="F15" s="10"/>
      <c r="G15" s="10"/>
      <c r="H15" s="10"/>
      <c r="I15" s="10"/>
      <c r="J15" s="10"/>
      <c r="K15" s="10"/>
      <c r="L15" s="10"/>
      <c r="M15" s="10"/>
      <c r="N15" s="10"/>
      <c r="O15" s="10"/>
      <c r="P15" s="10"/>
      <c r="Q15" s="10"/>
      <c r="R15" s="10"/>
      <c r="S15" s="10"/>
      <c r="T15" s="10"/>
      <c r="U15" s="10"/>
      <c r="V15" s="11"/>
    </row>
    <row r="16" spans="1:22" x14ac:dyDescent="0.35">
      <c r="A16" s="30"/>
      <c r="B16" s="10"/>
      <c r="C16" s="10"/>
      <c r="D16" s="10"/>
      <c r="E16" s="10"/>
      <c r="F16" s="10"/>
      <c r="G16" s="10"/>
      <c r="H16" s="10"/>
      <c r="I16" s="10"/>
      <c r="J16" s="10"/>
      <c r="K16" s="10"/>
      <c r="L16" s="10"/>
      <c r="M16" s="10"/>
      <c r="N16" s="10"/>
      <c r="O16" s="10"/>
      <c r="P16" s="10"/>
      <c r="Q16" s="10"/>
      <c r="R16" s="10"/>
      <c r="S16" s="10"/>
      <c r="T16" s="10"/>
      <c r="U16" s="10"/>
      <c r="V16" s="11"/>
    </row>
    <row r="17" spans="1:22" x14ac:dyDescent="0.35">
      <c r="A17" s="30"/>
      <c r="B17" s="10"/>
      <c r="C17" s="10"/>
      <c r="D17" s="10"/>
      <c r="E17" s="10"/>
      <c r="F17" s="10"/>
      <c r="G17" s="10"/>
      <c r="H17" s="10"/>
      <c r="I17" s="10"/>
      <c r="J17" s="10"/>
      <c r="K17" s="10"/>
      <c r="L17" s="10"/>
      <c r="M17" s="10"/>
      <c r="N17" s="10"/>
      <c r="O17" s="10"/>
      <c r="P17" s="10"/>
      <c r="Q17" s="10"/>
      <c r="R17" s="10"/>
      <c r="S17" s="10"/>
      <c r="T17" s="10"/>
      <c r="U17" s="10"/>
      <c r="V17" s="11"/>
    </row>
    <row r="18" spans="1:22" x14ac:dyDescent="0.35">
      <c r="A18" s="30"/>
      <c r="B18" s="10"/>
      <c r="C18" s="10"/>
      <c r="D18" s="10"/>
      <c r="E18" s="10"/>
      <c r="F18" s="10"/>
      <c r="G18" s="10"/>
      <c r="H18" s="10"/>
      <c r="I18" s="10"/>
      <c r="J18" s="10"/>
      <c r="K18" s="10"/>
      <c r="L18" s="10"/>
      <c r="M18" s="10"/>
      <c r="N18" s="10"/>
      <c r="O18" s="10"/>
      <c r="P18" s="10"/>
      <c r="Q18" s="10"/>
      <c r="R18" s="10"/>
      <c r="S18" s="10"/>
      <c r="T18" s="10"/>
      <c r="U18" s="10"/>
      <c r="V18" s="11"/>
    </row>
    <row r="19" spans="1:22" x14ac:dyDescent="0.35">
      <c r="A19" s="30"/>
      <c r="B19" s="10"/>
      <c r="C19" s="10"/>
      <c r="D19" s="10"/>
      <c r="E19" s="10"/>
      <c r="F19" s="10"/>
      <c r="G19" s="10"/>
      <c r="H19" s="10"/>
      <c r="I19" s="10"/>
      <c r="J19" s="10"/>
      <c r="K19" s="10"/>
      <c r="L19" s="10"/>
      <c r="M19" s="10"/>
      <c r="N19" s="10"/>
      <c r="O19" s="10"/>
      <c r="P19" s="10"/>
      <c r="Q19" s="10"/>
      <c r="R19" s="10"/>
      <c r="S19" s="10"/>
      <c r="T19" s="10"/>
      <c r="U19" s="10"/>
      <c r="V19" s="11"/>
    </row>
    <row r="20" spans="1:22" x14ac:dyDescent="0.35">
      <c r="A20" s="30"/>
      <c r="B20" s="10"/>
      <c r="C20" s="10"/>
      <c r="D20" s="10"/>
      <c r="E20" s="10"/>
      <c r="F20" s="10"/>
      <c r="G20" s="10"/>
      <c r="H20" s="10"/>
      <c r="I20" s="10"/>
      <c r="J20" s="10"/>
      <c r="K20" s="10"/>
      <c r="L20" s="10"/>
      <c r="M20" s="10"/>
      <c r="N20" s="10"/>
      <c r="O20" s="10"/>
      <c r="P20" s="10"/>
      <c r="Q20" s="10"/>
      <c r="R20" s="10"/>
      <c r="S20" s="10"/>
      <c r="T20" s="10"/>
      <c r="U20" s="10"/>
      <c r="V20" s="11"/>
    </row>
    <row r="21" spans="1:22" x14ac:dyDescent="0.35">
      <c r="A21" s="30"/>
      <c r="B21" s="10"/>
      <c r="C21" s="10"/>
      <c r="D21" s="10"/>
      <c r="E21" s="10"/>
      <c r="F21" s="10"/>
      <c r="G21" s="10"/>
      <c r="H21" s="10"/>
      <c r="I21" s="10"/>
      <c r="J21" s="10"/>
      <c r="K21" s="10"/>
      <c r="L21" s="10"/>
      <c r="M21" s="10"/>
      <c r="N21" s="10"/>
      <c r="O21" s="10"/>
      <c r="P21" s="10"/>
      <c r="Q21" s="10"/>
      <c r="R21" s="10"/>
      <c r="S21" s="10"/>
      <c r="T21" s="10"/>
      <c r="U21" s="10"/>
      <c r="V21" s="11"/>
    </row>
    <row r="22" spans="1:22" x14ac:dyDescent="0.35">
      <c r="A22" s="30"/>
      <c r="B22" s="10"/>
      <c r="C22" s="10"/>
      <c r="D22" s="10"/>
      <c r="E22" s="10"/>
      <c r="F22" s="10"/>
      <c r="G22" s="10"/>
      <c r="H22" s="10"/>
      <c r="I22" s="10"/>
      <c r="J22" s="10"/>
      <c r="K22" s="10"/>
      <c r="L22" s="10"/>
      <c r="M22" s="10"/>
      <c r="N22" s="10"/>
      <c r="O22" s="10"/>
      <c r="P22" s="10"/>
      <c r="Q22" s="10"/>
      <c r="R22" s="10"/>
      <c r="S22" s="10"/>
      <c r="T22" s="10"/>
      <c r="U22" s="10"/>
      <c r="V22" s="11"/>
    </row>
    <row r="23" spans="1:22" x14ac:dyDescent="0.35">
      <c r="A23" s="30"/>
      <c r="B23" s="10"/>
      <c r="C23" s="10"/>
      <c r="D23" s="10"/>
      <c r="E23" s="10"/>
      <c r="F23" s="10"/>
      <c r="G23" s="10"/>
      <c r="H23" s="10"/>
      <c r="I23" s="10"/>
      <c r="J23" s="10"/>
      <c r="K23" s="10"/>
      <c r="L23" s="10"/>
      <c r="M23" s="10"/>
      <c r="N23" s="10"/>
      <c r="O23" s="10"/>
      <c r="P23" s="10"/>
      <c r="Q23" s="10"/>
      <c r="R23" s="10"/>
      <c r="S23" s="10"/>
      <c r="T23" s="10"/>
      <c r="U23" s="10"/>
      <c r="V23" s="11"/>
    </row>
    <row r="24" spans="1:22" x14ac:dyDescent="0.35">
      <c r="A24" s="30"/>
      <c r="B24" s="10"/>
      <c r="C24" s="10"/>
      <c r="D24" s="10"/>
      <c r="E24" s="10"/>
      <c r="F24" s="10"/>
      <c r="G24" s="10"/>
      <c r="H24" s="10"/>
      <c r="I24" s="10"/>
      <c r="J24" s="10"/>
      <c r="K24" s="10"/>
      <c r="L24" s="10"/>
      <c r="M24" s="10"/>
      <c r="N24" s="10"/>
      <c r="O24" s="10"/>
      <c r="P24" s="10"/>
      <c r="Q24" s="10"/>
      <c r="R24" s="10"/>
      <c r="S24" s="10"/>
      <c r="T24" s="10"/>
      <c r="U24" s="10"/>
      <c r="V24" s="11"/>
    </row>
    <row r="25" spans="1:22" x14ac:dyDescent="0.35">
      <c r="A25" s="30"/>
      <c r="B25" s="10"/>
      <c r="C25" s="10"/>
      <c r="D25" s="10"/>
      <c r="E25" s="10"/>
      <c r="F25" s="10"/>
      <c r="G25" s="10"/>
      <c r="H25" s="10"/>
      <c r="I25" s="10"/>
      <c r="J25" s="10"/>
      <c r="K25" s="10"/>
      <c r="L25" s="10"/>
      <c r="M25" s="10"/>
      <c r="N25" s="10"/>
      <c r="O25" s="10"/>
      <c r="P25" s="10"/>
      <c r="Q25" s="10"/>
      <c r="R25" s="10"/>
      <c r="S25" s="10"/>
      <c r="T25" s="10"/>
      <c r="U25" s="10"/>
      <c r="V25" s="11"/>
    </row>
    <row r="26" spans="1:22" x14ac:dyDescent="0.35">
      <c r="A26" s="30"/>
      <c r="B26" s="10"/>
      <c r="C26" s="10"/>
      <c r="D26" s="10"/>
      <c r="E26" s="10"/>
      <c r="F26" s="10"/>
      <c r="G26" s="10"/>
      <c r="H26" s="10"/>
      <c r="I26" s="10"/>
      <c r="J26" s="10"/>
      <c r="K26" s="10"/>
      <c r="L26" s="10"/>
      <c r="M26" s="10"/>
      <c r="N26" s="10"/>
      <c r="O26" s="10"/>
      <c r="P26" s="10"/>
      <c r="Q26" s="10"/>
      <c r="R26" s="10"/>
      <c r="S26" s="10"/>
      <c r="T26" s="10"/>
      <c r="U26" s="10"/>
      <c r="V26" s="11"/>
    </row>
    <row r="27" spans="1:22" x14ac:dyDescent="0.35">
      <c r="A27" s="30"/>
      <c r="B27" s="10"/>
      <c r="C27" s="10"/>
      <c r="D27" s="10"/>
      <c r="E27" s="10"/>
      <c r="F27" s="10"/>
      <c r="G27" s="10"/>
      <c r="H27" s="10"/>
      <c r="I27" s="10"/>
      <c r="J27" s="10"/>
      <c r="K27" s="10"/>
      <c r="L27" s="10"/>
      <c r="M27" s="10"/>
      <c r="N27" s="10"/>
      <c r="O27" s="10"/>
      <c r="P27" s="10"/>
      <c r="Q27" s="10"/>
      <c r="R27" s="10"/>
      <c r="S27" s="10"/>
      <c r="T27" s="10"/>
      <c r="U27" s="10"/>
      <c r="V27" s="11"/>
    </row>
    <row r="28" spans="1:22" x14ac:dyDescent="0.35">
      <c r="A28" s="30"/>
      <c r="B28" s="10"/>
      <c r="C28" s="10"/>
      <c r="D28" s="10"/>
      <c r="E28" s="10"/>
      <c r="F28" s="10"/>
      <c r="G28" s="10"/>
      <c r="H28" s="10"/>
      <c r="I28" s="10"/>
      <c r="J28" s="10"/>
      <c r="K28" s="10"/>
      <c r="L28" s="10"/>
      <c r="M28" s="10"/>
      <c r="N28" s="10"/>
      <c r="O28" s="10"/>
      <c r="P28" s="10"/>
      <c r="Q28" s="10"/>
      <c r="R28" s="10"/>
      <c r="S28" s="10"/>
      <c r="T28" s="10"/>
      <c r="U28" s="10"/>
      <c r="V28" s="11"/>
    </row>
    <row r="29" spans="1:22" x14ac:dyDescent="0.35">
      <c r="A29" s="30"/>
      <c r="B29" s="10"/>
      <c r="C29" s="10"/>
      <c r="D29" s="10"/>
      <c r="E29" s="10"/>
      <c r="F29" s="10"/>
      <c r="G29" s="10"/>
      <c r="H29" s="10"/>
      <c r="I29" s="10"/>
      <c r="J29" s="10"/>
      <c r="K29" s="10"/>
      <c r="L29" s="10"/>
      <c r="M29" s="10"/>
      <c r="N29" s="10"/>
      <c r="O29" s="10"/>
      <c r="P29" s="10"/>
      <c r="Q29" s="10"/>
      <c r="R29" s="10"/>
      <c r="S29" s="10"/>
      <c r="T29" s="10"/>
      <c r="U29" s="10"/>
      <c r="V29" s="11"/>
    </row>
    <row r="30" spans="1:22" x14ac:dyDescent="0.35">
      <c r="A30" s="30"/>
      <c r="B30" s="10"/>
      <c r="C30" s="10"/>
      <c r="D30" s="10"/>
      <c r="E30" s="10"/>
      <c r="F30" s="10"/>
      <c r="G30" s="10"/>
      <c r="H30" s="10"/>
      <c r="I30" s="10"/>
      <c r="J30" s="10"/>
      <c r="K30" s="10"/>
      <c r="L30" s="10"/>
      <c r="M30" s="10"/>
      <c r="N30" s="10"/>
      <c r="O30" s="10"/>
      <c r="P30" s="10"/>
      <c r="Q30" s="10"/>
      <c r="R30" s="10"/>
      <c r="S30" s="10"/>
      <c r="T30" s="10"/>
      <c r="U30" s="10"/>
      <c r="V30" s="11"/>
    </row>
    <row r="31" spans="1:22" x14ac:dyDescent="0.35">
      <c r="A31" s="30"/>
      <c r="B31" s="10"/>
      <c r="C31" s="10"/>
      <c r="D31" s="10"/>
      <c r="E31" s="10"/>
      <c r="F31" s="10"/>
      <c r="G31" s="10"/>
      <c r="H31" s="10"/>
      <c r="I31" s="10"/>
      <c r="J31" s="10"/>
      <c r="K31" s="10"/>
      <c r="L31" s="10"/>
      <c r="M31" s="10"/>
      <c r="N31" s="10"/>
      <c r="O31" s="10"/>
      <c r="P31" s="10"/>
      <c r="Q31" s="10"/>
      <c r="R31" s="10"/>
      <c r="S31" s="10"/>
      <c r="T31" s="10"/>
      <c r="U31" s="10"/>
      <c r="V31" s="11"/>
    </row>
    <row r="32" spans="1:22" x14ac:dyDescent="0.35">
      <c r="A32" s="30"/>
      <c r="B32" s="10"/>
      <c r="C32" s="10"/>
      <c r="D32" s="10"/>
      <c r="E32" s="10"/>
      <c r="F32" s="10"/>
      <c r="G32" s="10"/>
      <c r="H32" s="10"/>
      <c r="I32" s="10"/>
      <c r="J32" s="10"/>
      <c r="K32" s="10"/>
      <c r="L32" s="10"/>
      <c r="M32" s="10"/>
      <c r="N32" s="10"/>
      <c r="O32" s="10"/>
      <c r="P32" s="10"/>
      <c r="Q32" s="10"/>
      <c r="R32" s="10"/>
      <c r="S32" s="10"/>
      <c r="T32" s="10"/>
      <c r="U32" s="10"/>
      <c r="V32" s="11"/>
    </row>
    <row r="33" spans="1:22" x14ac:dyDescent="0.35">
      <c r="A33" s="30"/>
      <c r="B33" s="10"/>
      <c r="C33" s="10"/>
      <c r="D33" s="10"/>
      <c r="E33" s="10"/>
      <c r="F33" s="10"/>
      <c r="G33" s="10"/>
      <c r="H33" s="10"/>
      <c r="I33" s="10"/>
      <c r="J33" s="10"/>
      <c r="K33" s="10"/>
      <c r="L33" s="10"/>
      <c r="M33" s="10"/>
      <c r="N33" s="10"/>
      <c r="O33" s="10"/>
      <c r="P33" s="10"/>
      <c r="Q33" s="10"/>
      <c r="R33" s="10"/>
      <c r="S33" s="10"/>
      <c r="T33" s="10"/>
      <c r="U33" s="10"/>
      <c r="V33" s="11"/>
    </row>
    <row r="34" spans="1:22" x14ac:dyDescent="0.35">
      <c r="A34" s="30"/>
      <c r="B34" s="10"/>
      <c r="C34" s="10"/>
      <c r="D34" s="10"/>
      <c r="E34" s="10"/>
      <c r="F34" s="10"/>
      <c r="G34" s="10"/>
      <c r="H34" s="10"/>
      <c r="I34" s="10"/>
      <c r="J34" s="10"/>
      <c r="K34" s="10"/>
      <c r="L34" s="10"/>
      <c r="M34" s="10"/>
      <c r="N34" s="10"/>
      <c r="O34" s="10"/>
      <c r="P34" s="10"/>
      <c r="Q34" s="10"/>
      <c r="R34" s="10"/>
      <c r="S34" s="10"/>
      <c r="T34" s="10"/>
      <c r="U34" s="10"/>
      <c r="V34" s="11"/>
    </row>
    <row r="35" spans="1:22" x14ac:dyDescent="0.35">
      <c r="A35" s="30"/>
      <c r="B35" s="10"/>
      <c r="C35" s="10"/>
      <c r="D35" s="10"/>
      <c r="E35" s="10"/>
      <c r="F35" s="10"/>
      <c r="G35" s="10"/>
      <c r="H35" s="10"/>
      <c r="I35" s="10"/>
      <c r="J35" s="10"/>
      <c r="K35" s="10"/>
      <c r="L35" s="10"/>
      <c r="M35" s="10"/>
      <c r="N35" s="10"/>
      <c r="O35" s="10"/>
      <c r="P35" s="10"/>
      <c r="Q35" s="10"/>
      <c r="R35" s="10"/>
      <c r="S35" s="10"/>
      <c r="T35" s="10"/>
      <c r="U35" s="10"/>
      <c r="V35" s="11"/>
    </row>
    <row r="36" spans="1:22" x14ac:dyDescent="0.35">
      <c r="A36" s="30"/>
      <c r="B36" s="10"/>
      <c r="C36" s="10"/>
      <c r="D36" s="10"/>
      <c r="E36" s="10"/>
      <c r="F36" s="10"/>
      <c r="G36" s="10"/>
      <c r="H36" s="10"/>
      <c r="I36" s="10"/>
      <c r="J36" s="10"/>
      <c r="K36" s="10"/>
      <c r="L36" s="10"/>
      <c r="M36" s="10"/>
      <c r="N36" s="10"/>
      <c r="O36" s="10"/>
      <c r="P36" s="10"/>
      <c r="Q36" s="10"/>
      <c r="R36" s="10"/>
      <c r="S36" s="10"/>
      <c r="T36" s="10"/>
      <c r="U36" s="10"/>
      <c r="V36" s="11"/>
    </row>
    <row r="37" spans="1:22" x14ac:dyDescent="0.35">
      <c r="A37" s="30"/>
      <c r="B37" s="10"/>
      <c r="C37" s="10"/>
      <c r="D37" s="10"/>
      <c r="E37" s="10"/>
      <c r="F37" s="10"/>
      <c r="G37" s="10"/>
      <c r="H37" s="10"/>
      <c r="I37" s="10"/>
      <c r="J37" s="10"/>
      <c r="K37" s="10"/>
      <c r="L37" s="10"/>
      <c r="M37" s="10"/>
      <c r="N37" s="10"/>
      <c r="O37" s="10"/>
      <c r="P37" s="10"/>
      <c r="Q37" s="10"/>
      <c r="R37" s="10"/>
      <c r="S37" s="10"/>
      <c r="T37" s="10"/>
      <c r="U37" s="10"/>
      <c r="V37" s="11"/>
    </row>
    <row r="38" spans="1:22" x14ac:dyDescent="0.35">
      <c r="A38" s="30"/>
      <c r="B38" s="10"/>
      <c r="C38" s="10"/>
      <c r="D38" s="10"/>
      <c r="E38" s="10"/>
      <c r="F38" s="10"/>
      <c r="G38" s="10"/>
      <c r="H38" s="10"/>
      <c r="I38" s="10"/>
      <c r="J38" s="10"/>
      <c r="K38" s="10"/>
      <c r="L38" s="10"/>
      <c r="M38" s="10"/>
      <c r="N38" s="10"/>
      <c r="O38" s="10"/>
      <c r="P38" s="10"/>
      <c r="Q38" s="10"/>
      <c r="R38" s="10"/>
      <c r="S38" s="10"/>
      <c r="T38" s="10"/>
      <c r="U38" s="10"/>
      <c r="V38" s="11"/>
    </row>
    <row r="39" spans="1:22" x14ac:dyDescent="0.35">
      <c r="A39" s="30"/>
      <c r="B39" s="10"/>
      <c r="C39" s="10"/>
      <c r="D39" s="10"/>
      <c r="E39" s="10"/>
      <c r="F39" s="10"/>
      <c r="G39" s="10"/>
      <c r="H39" s="10"/>
      <c r="I39" s="10"/>
      <c r="J39" s="10"/>
      <c r="K39" s="10"/>
      <c r="L39" s="10"/>
      <c r="M39" s="10"/>
      <c r="N39" s="10"/>
      <c r="O39" s="10"/>
      <c r="P39" s="10"/>
      <c r="Q39" s="10"/>
      <c r="R39" s="10"/>
      <c r="S39" s="10"/>
      <c r="T39" s="10"/>
      <c r="U39" s="10"/>
      <c r="V39" s="11"/>
    </row>
    <row r="40" spans="1:22" x14ac:dyDescent="0.35">
      <c r="A40" s="30"/>
      <c r="B40" s="10"/>
      <c r="C40" s="10"/>
      <c r="D40" s="10"/>
      <c r="E40" s="10"/>
      <c r="F40" s="10"/>
      <c r="G40" s="10"/>
      <c r="H40" s="10"/>
      <c r="I40" s="10"/>
      <c r="J40" s="10"/>
      <c r="K40" s="10"/>
      <c r="L40" s="10"/>
      <c r="M40" s="10"/>
      <c r="N40" s="10"/>
      <c r="O40" s="10"/>
      <c r="P40" s="10"/>
      <c r="Q40" s="10"/>
      <c r="R40" s="10"/>
      <c r="S40" s="10"/>
      <c r="T40" s="10"/>
      <c r="U40" s="10"/>
      <c r="V40" s="11"/>
    </row>
    <row r="41" spans="1:22" x14ac:dyDescent="0.35">
      <c r="A41" s="30"/>
      <c r="B41" s="10"/>
      <c r="C41" s="10"/>
      <c r="D41" s="10"/>
      <c r="E41" s="10"/>
      <c r="F41" s="10"/>
      <c r="G41" s="10"/>
      <c r="H41" s="10"/>
      <c r="I41" s="10"/>
      <c r="J41" s="10"/>
      <c r="K41" s="10"/>
      <c r="L41" s="10"/>
      <c r="M41" s="10"/>
      <c r="N41" s="10"/>
      <c r="O41" s="10"/>
      <c r="P41" s="10"/>
      <c r="Q41" s="10"/>
      <c r="R41" s="10"/>
      <c r="S41" s="10"/>
      <c r="T41" s="10"/>
      <c r="U41" s="10"/>
      <c r="V41" s="11"/>
    </row>
    <row r="42" spans="1:22" x14ac:dyDescent="0.35">
      <c r="A42" s="30"/>
      <c r="B42" s="10"/>
      <c r="C42" s="10"/>
      <c r="D42" s="10"/>
      <c r="E42" s="10"/>
      <c r="F42" s="10"/>
      <c r="G42" s="10"/>
      <c r="H42" s="10"/>
      <c r="I42" s="10"/>
      <c r="J42" s="10"/>
      <c r="K42" s="10"/>
      <c r="L42" s="10"/>
      <c r="M42" s="10"/>
      <c r="N42" s="10"/>
      <c r="O42" s="10"/>
      <c r="P42" s="10"/>
      <c r="Q42" s="10"/>
      <c r="R42" s="10"/>
      <c r="S42" s="10"/>
      <c r="T42" s="10"/>
      <c r="U42" s="10"/>
      <c r="V42" s="11"/>
    </row>
    <row r="43" spans="1:22" x14ac:dyDescent="0.35">
      <c r="A43" s="30"/>
      <c r="B43" s="10"/>
      <c r="C43" s="10"/>
      <c r="D43" s="10"/>
      <c r="E43" s="10"/>
      <c r="F43" s="10"/>
      <c r="G43" s="10"/>
      <c r="H43" s="10"/>
      <c r="I43" s="10"/>
      <c r="J43" s="10"/>
      <c r="K43" s="10"/>
      <c r="L43" s="10"/>
      <c r="M43" s="10"/>
      <c r="N43" s="10"/>
      <c r="O43" s="10"/>
      <c r="P43" s="10"/>
      <c r="Q43" s="10"/>
      <c r="R43" s="10"/>
      <c r="S43" s="10"/>
      <c r="T43" s="10"/>
      <c r="U43" s="10"/>
      <c r="V43" s="11"/>
    </row>
    <row r="44" spans="1:22" x14ac:dyDescent="0.35">
      <c r="A44" s="30"/>
      <c r="B44" s="10"/>
      <c r="C44" s="10"/>
      <c r="D44" s="10"/>
      <c r="E44" s="10"/>
      <c r="F44" s="10"/>
      <c r="G44" s="10"/>
      <c r="H44" s="10"/>
      <c r="I44" s="10"/>
      <c r="J44" s="10"/>
      <c r="K44" s="10"/>
      <c r="L44" s="10"/>
      <c r="M44" s="10"/>
      <c r="N44" s="10"/>
      <c r="O44" s="10"/>
      <c r="P44" s="10"/>
      <c r="Q44" s="10"/>
      <c r="R44" s="10"/>
      <c r="S44" s="10"/>
      <c r="T44" s="10"/>
      <c r="U44" s="10"/>
      <c r="V44" s="11"/>
    </row>
    <row r="45" spans="1:22" x14ac:dyDescent="0.35">
      <c r="A45" s="30"/>
      <c r="B45" s="10"/>
      <c r="C45" s="10"/>
      <c r="D45" s="10"/>
      <c r="E45" s="10"/>
      <c r="F45" s="10"/>
      <c r="G45" s="10"/>
      <c r="H45" s="10"/>
      <c r="I45" s="10"/>
      <c r="J45" s="10"/>
      <c r="K45" s="10"/>
      <c r="L45" s="10"/>
      <c r="M45" s="10"/>
      <c r="N45" s="10"/>
      <c r="O45" s="10"/>
      <c r="P45" s="10"/>
      <c r="Q45" s="10"/>
      <c r="R45" s="10"/>
      <c r="S45" s="10"/>
      <c r="T45" s="10"/>
      <c r="U45" s="10"/>
      <c r="V45" s="11"/>
    </row>
    <row r="46" spans="1:22" x14ac:dyDescent="0.35">
      <c r="A46" s="30"/>
      <c r="B46" s="10"/>
      <c r="C46" s="10"/>
      <c r="D46" s="10"/>
      <c r="E46" s="10"/>
      <c r="F46" s="10"/>
      <c r="G46" s="10"/>
      <c r="H46" s="10"/>
      <c r="I46" s="10"/>
      <c r="J46" s="10"/>
      <c r="K46" s="10"/>
      <c r="L46" s="10"/>
      <c r="M46" s="10"/>
      <c r="N46" s="10"/>
      <c r="O46" s="10"/>
      <c r="P46" s="10"/>
      <c r="Q46" s="10"/>
      <c r="R46" s="10"/>
      <c r="S46" s="10"/>
      <c r="T46" s="10"/>
      <c r="U46" s="10"/>
      <c r="V46" s="11"/>
    </row>
    <row r="47" spans="1:22" x14ac:dyDescent="0.35">
      <c r="A47" s="30"/>
      <c r="B47" s="10"/>
      <c r="C47" s="10"/>
      <c r="D47" s="10"/>
      <c r="E47" s="10"/>
      <c r="F47" s="10"/>
      <c r="G47" s="10"/>
      <c r="H47" s="10"/>
      <c r="I47" s="10"/>
      <c r="J47" s="10"/>
      <c r="K47" s="10"/>
      <c r="L47" s="10"/>
      <c r="M47" s="10"/>
      <c r="N47" s="10"/>
      <c r="O47" s="10"/>
      <c r="P47" s="10"/>
      <c r="Q47" s="10"/>
      <c r="R47" s="10"/>
      <c r="S47" s="10"/>
      <c r="T47" s="10"/>
      <c r="U47" s="10"/>
      <c r="V47" s="11"/>
    </row>
    <row r="48" spans="1:22" x14ac:dyDescent="0.35">
      <c r="A48" s="30"/>
      <c r="B48" s="10"/>
      <c r="C48" s="10"/>
      <c r="D48" s="10"/>
      <c r="E48" s="10"/>
      <c r="F48" s="10"/>
      <c r="G48" s="10"/>
      <c r="H48" s="10"/>
      <c r="I48" s="10"/>
      <c r="J48" s="10"/>
      <c r="K48" s="10"/>
      <c r="L48" s="10"/>
      <c r="M48" s="10"/>
      <c r="N48" s="10"/>
      <c r="O48" s="10"/>
      <c r="P48" s="10"/>
      <c r="Q48" s="10"/>
      <c r="R48" s="10"/>
      <c r="S48" s="10"/>
      <c r="T48" s="10"/>
      <c r="U48" s="10"/>
      <c r="V48" s="11"/>
    </row>
    <row r="49" spans="1:22" x14ac:dyDescent="0.35">
      <c r="A49" s="30"/>
      <c r="B49" s="10"/>
      <c r="C49" s="10"/>
      <c r="D49" s="10"/>
      <c r="E49" s="10"/>
      <c r="F49" s="10"/>
      <c r="G49" s="10"/>
      <c r="H49" s="10"/>
      <c r="I49" s="10"/>
      <c r="J49" s="10"/>
      <c r="K49" s="10"/>
      <c r="L49" s="10"/>
      <c r="M49" s="10"/>
      <c r="N49" s="10"/>
      <c r="O49" s="10"/>
      <c r="P49" s="10"/>
      <c r="Q49" s="10"/>
      <c r="R49" s="10"/>
      <c r="S49" s="10"/>
      <c r="T49" s="10"/>
      <c r="U49" s="10"/>
      <c r="V49" s="11"/>
    </row>
    <row r="50" spans="1:22" x14ac:dyDescent="0.35">
      <c r="A50" s="30"/>
      <c r="B50" s="10"/>
      <c r="C50" s="10"/>
      <c r="D50" s="10"/>
      <c r="E50" s="10"/>
      <c r="F50" s="10"/>
      <c r="G50" s="10"/>
      <c r="H50" s="10"/>
      <c r="I50" s="10"/>
      <c r="J50" s="10"/>
      <c r="K50" s="10"/>
      <c r="L50" s="10"/>
      <c r="M50" s="10"/>
      <c r="N50" s="10"/>
      <c r="O50" s="10"/>
      <c r="P50" s="10"/>
      <c r="Q50" s="10"/>
      <c r="R50" s="10"/>
      <c r="S50" s="10"/>
      <c r="T50" s="10"/>
      <c r="U50" s="10"/>
      <c r="V50" s="11"/>
    </row>
    <row r="51" spans="1:22" x14ac:dyDescent="0.35">
      <c r="A51" s="30"/>
      <c r="B51" s="10"/>
      <c r="C51" s="10"/>
      <c r="D51" s="10"/>
      <c r="E51" s="10"/>
      <c r="F51" s="10"/>
      <c r="G51" s="10"/>
      <c r="H51" s="10"/>
      <c r="I51" s="10"/>
      <c r="J51" s="10"/>
      <c r="K51" s="10"/>
      <c r="L51" s="10"/>
      <c r="M51" s="10"/>
      <c r="N51" s="10"/>
      <c r="O51" s="10"/>
      <c r="P51" s="10"/>
      <c r="Q51" s="10"/>
      <c r="R51" s="10"/>
      <c r="S51" s="10"/>
      <c r="T51" s="10"/>
      <c r="U51" s="10"/>
      <c r="V51" s="11"/>
    </row>
    <row r="52" spans="1:22" x14ac:dyDescent="0.35">
      <c r="A52" s="30"/>
      <c r="B52" s="10"/>
      <c r="C52" s="10"/>
      <c r="D52" s="10"/>
      <c r="E52" s="10"/>
      <c r="F52" s="10"/>
      <c r="G52" s="10"/>
      <c r="H52" s="10"/>
      <c r="I52" s="10"/>
      <c r="J52" s="10"/>
      <c r="K52" s="10"/>
      <c r="L52" s="10"/>
      <c r="M52" s="10"/>
      <c r="N52" s="10"/>
      <c r="O52" s="10"/>
      <c r="P52" s="10"/>
      <c r="Q52" s="10"/>
      <c r="R52" s="10"/>
      <c r="S52" s="10"/>
      <c r="T52" s="10"/>
      <c r="U52" s="10"/>
      <c r="V52" s="11"/>
    </row>
    <row r="53" spans="1:22" x14ac:dyDescent="0.35">
      <c r="A53" s="30"/>
      <c r="B53" s="10"/>
      <c r="C53" s="10"/>
      <c r="D53" s="10"/>
      <c r="E53" s="10"/>
      <c r="F53" s="10"/>
      <c r="G53" s="10"/>
      <c r="H53" s="10"/>
      <c r="I53" s="10"/>
      <c r="J53" s="10"/>
      <c r="K53" s="10"/>
      <c r="L53" s="10"/>
      <c r="M53" s="10"/>
      <c r="N53" s="10"/>
      <c r="O53" s="10"/>
      <c r="P53" s="10"/>
      <c r="Q53" s="10"/>
      <c r="R53" s="10"/>
      <c r="S53" s="10"/>
      <c r="T53" s="10"/>
      <c r="U53" s="10"/>
      <c r="V53" s="11"/>
    </row>
    <row r="54" spans="1:22" x14ac:dyDescent="0.35">
      <c r="A54" s="30"/>
      <c r="B54" s="10"/>
      <c r="C54" s="10"/>
      <c r="D54" s="10"/>
      <c r="E54" s="10"/>
      <c r="F54" s="10"/>
      <c r="G54" s="10"/>
      <c r="H54" s="10"/>
      <c r="I54" s="10"/>
      <c r="J54" s="10"/>
      <c r="K54" s="10"/>
      <c r="L54" s="10"/>
      <c r="M54" s="10"/>
      <c r="N54" s="10"/>
      <c r="O54" s="10"/>
      <c r="P54" s="10"/>
      <c r="Q54" s="10"/>
      <c r="R54" s="10"/>
      <c r="S54" s="10"/>
      <c r="T54" s="10"/>
      <c r="U54" s="10"/>
      <c r="V54" s="11"/>
    </row>
    <row r="55" spans="1:22" x14ac:dyDescent="0.35">
      <c r="A55" s="30"/>
      <c r="B55" s="10"/>
      <c r="C55" s="10"/>
      <c r="D55" s="10"/>
      <c r="E55" s="10"/>
      <c r="F55" s="10"/>
      <c r="G55" s="10"/>
      <c r="H55" s="10"/>
      <c r="I55" s="10"/>
      <c r="J55" s="10"/>
      <c r="K55" s="10"/>
      <c r="L55" s="10"/>
      <c r="M55" s="10"/>
      <c r="N55" s="10"/>
      <c r="O55" s="10"/>
      <c r="P55" s="10"/>
      <c r="Q55" s="10"/>
      <c r="R55" s="10"/>
      <c r="S55" s="10"/>
      <c r="T55" s="10"/>
      <c r="U55" s="10"/>
      <c r="V55" s="11"/>
    </row>
    <row r="56" spans="1:22" x14ac:dyDescent="0.35">
      <c r="A56" s="30"/>
      <c r="B56" s="10"/>
      <c r="C56" s="10"/>
      <c r="D56" s="10"/>
      <c r="E56" s="10"/>
      <c r="F56" s="10"/>
      <c r="G56" s="10"/>
      <c r="H56" s="10"/>
      <c r="I56" s="10"/>
      <c r="J56" s="10"/>
      <c r="K56" s="10"/>
      <c r="L56" s="10"/>
      <c r="M56" s="10"/>
      <c r="N56" s="10"/>
      <c r="O56" s="10"/>
      <c r="P56" s="10"/>
      <c r="Q56" s="10"/>
      <c r="R56" s="10"/>
      <c r="S56" s="10"/>
      <c r="T56" s="10"/>
      <c r="U56" s="10"/>
      <c r="V56" s="11"/>
    </row>
    <row r="57" spans="1:22" ht="15" thickBot="1" x14ac:dyDescent="0.4">
      <c r="A57" s="34"/>
      <c r="B57" s="13"/>
      <c r="C57" s="13"/>
      <c r="D57" s="13"/>
      <c r="E57" s="13"/>
      <c r="F57" s="13"/>
      <c r="G57" s="13"/>
      <c r="H57" s="13"/>
      <c r="I57" s="13"/>
      <c r="J57" s="13"/>
      <c r="K57" s="13"/>
      <c r="L57" s="13"/>
      <c r="M57" s="13"/>
      <c r="N57" s="13"/>
      <c r="O57" s="13"/>
      <c r="P57" s="13"/>
      <c r="Q57" s="13"/>
      <c r="R57" s="13"/>
      <c r="S57" s="13"/>
      <c r="T57" s="13"/>
      <c r="U57" s="13"/>
      <c r="V57" s="8"/>
    </row>
  </sheetData>
  <mergeCells count="9">
    <mergeCell ref="K4:L5"/>
    <mergeCell ref="K6:L7"/>
    <mergeCell ref="A1:V2"/>
    <mergeCell ref="B4:C5"/>
    <mergeCell ref="B6:C7"/>
    <mergeCell ref="E4:F5"/>
    <mergeCell ref="E6:F7"/>
    <mergeCell ref="H4:I5"/>
    <mergeCell ref="H6:I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SalesData</vt:lpstr>
      <vt:lpstr>Dataset</vt:lpstr>
      <vt:lpstr>Data Summarization</vt:lpstr>
      <vt:lpstr>Charts</vt:lpstr>
      <vt:lpstr>Regrestion</vt:lpstr>
      <vt:lpstr>Satstical Formula</vt:lpstr>
      <vt:lpstr>Formulas </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SHREE RAJ SALES</cp:lastModifiedBy>
  <dcterms:created xsi:type="dcterms:W3CDTF">2026-03-16T09:23:18Z</dcterms:created>
  <dcterms:modified xsi:type="dcterms:W3CDTF">2026-05-18T10:28:06Z</dcterms:modified>
</cp:coreProperties>
</file>